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38A31E6-364A-4E39-B5CE-CFB275810251}" xr6:coauthVersionLast="47" xr6:coauthVersionMax="47" xr10:uidLastSave="{00000000-0000-0000-0000-000000000000}"/>
  <bookViews>
    <workbookView xWindow="0" yWindow="10" windowWidth="19420" windowHeight="11020" xr2:uid="{EF7EE31C-F805-48AC-8D8A-6B550B57F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D88" i="1"/>
  <c r="K11" i="1" s="1"/>
  <c r="C46" i="1"/>
  <c r="Q26" i="1"/>
  <c r="I97" i="1"/>
  <c r="D60" i="1"/>
  <c r="F60" i="1" s="1"/>
  <c r="F26" i="1"/>
  <c r="Q49" i="1"/>
  <c r="F61" i="1"/>
  <c r="F62" i="1"/>
  <c r="F49" i="1"/>
  <c r="F50" i="1"/>
  <c r="F51" i="1"/>
  <c r="F48" i="1"/>
  <c r="F46" i="1"/>
  <c r="F23" i="1"/>
  <c r="C25" i="1"/>
  <c r="C24" i="1"/>
  <c r="C26" i="1" s="1"/>
  <c r="C23" i="1"/>
  <c r="C35" i="1"/>
  <c r="D25" i="1" a="1"/>
  <c r="D25" i="1" s="1"/>
  <c r="F25" i="1" s="1"/>
  <c r="J25" i="1" s="1"/>
  <c r="D24" i="1" a="1"/>
  <c r="D24" i="1" s="1"/>
  <c r="F24" i="1" s="1"/>
  <c r="J24" i="1" s="1"/>
  <c r="C8" i="1"/>
  <c r="C9" i="1"/>
  <c r="D129" i="1"/>
  <c r="D128" i="1"/>
  <c r="D123" i="1"/>
  <c r="D124" i="1" s="1"/>
  <c r="D125" i="1" s="1"/>
  <c r="D121" i="1"/>
  <c r="D122" i="1"/>
  <c r="H46" i="1" l="1"/>
  <c r="H23" i="1"/>
  <c r="H25" i="1"/>
  <c r="H26" i="1"/>
  <c r="C10" i="1"/>
  <c r="C36" i="1"/>
  <c r="F35" i="1"/>
  <c r="J35" i="1" s="1"/>
  <c r="D84" i="1"/>
  <c r="D86" i="1" s="1"/>
  <c r="I96" i="1"/>
  <c r="D97" i="1"/>
  <c r="J99" i="1" s="1"/>
  <c r="K48" i="1"/>
  <c r="C48" i="1" s="1"/>
  <c r="K49" i="1"/>
  <c r="C49" i="1" s="1"/>
  <c r="K62" i="1"/>
  <c r="I47" i="1"/>
  <c r="I48" i="1"/>
  <c r="I49" i="1"/>
  <c r="I50" i="1"/>
  <c r="I51" i="1"/>
  <c r="I46" i="1"/>
  <c r="I36" i="1"/>
  <c r="I37" i="1"/>
  <c r="I35" i="1"/>
  <c r="I24" i="1"/>
  <c r="I25" i="1"/>
  <c r="I26" i="1"/>
  <c r="I23" i="1"/>
  <c r="J26" i="1"/>
  <c r="D59" i="1"/>
  <c r="E59" i="1"/>
  <c r="F59" i="1"/>
  <c r="G59" i="1"/>
  <c r="H59" i="1"/>
  <c r="J59" i="1"/>
  <c r="K59" i="1"/>
  <c r="C59" i="1"/>
  <c r="J46" i="1"/>
  <c r="F47" i="1"/>
  <c r="J47" i="1" s="1"/>
  <c r="J50" i="1"/>
  <c r="J51" i="1"/>
  <c r="C61" i="1"/>
  <c r="C60" i="1"/>
  <c r="J61" i="1"/>
  <c r="C37" i="1"/>
  <c r="F36" i="1"/>
  <c r="F37" i="1"/>
  <c r="Q48" i="1"/>
  <c r="C51" i="1"/>
  <c r="C50" i="1"/>
  <c r="C47" i="1"/>
  <c r="Q25" i="1"/>
  <c r="H47" i="1" l="1"/>
  <c r="J28" i="1"/>
  <c r="J29" i="1" s="1"/>
  <c r="H24" i="1"/>
  <c r="Q27" i="1"/>
  <c r="C62" i="1"/>
  <c r="H62" i="1" s="1"/>
  <c r="I62" i="1" s="1"/>
  <c r="J37" i="1"/>
  <c r="J36" i="1"/>
  <c r="J64" i="1"/>
  <c r="J65" i="1" s="1"/>
  <c r="J53" i="1"/>
  <c r="J54" i="1" s="1"/>
  <c r="H60" i="1"/>
  <c r="I60" i="1" s="1"/>
  <c r="H37" i="1"/>
  <c r="H61" i="1"/>
  <c r="Q50" i="1"/>
  <c r="H35" i="1"/>
  <c r="H36" i="1"/>
  <c r="H48" i="1"/>
  <c r="H49" i="1"/>
  <c r="H51" i="1"/>
  <c r="H50" i="1"/>
  <c r="J39" i="1" l="1"/>
  <c r="J40" i="1" s="1"/>
  <c r="H39" i="1"/>
  <c r="H28" i="1"/>
  <c r="H30" i="1" s="1"/>
  <c r="H64" i="1"/>
  <c r="I61" i="1"/>
  <c r="H53" i="1"/>
  <c r="H54" i="1" s="1"/>
  <c r="H41" i="1" l="1"/>
  <c r="K42" i="1" s="1"/>
  <c r="H40" i="1"/>
  <c r="K31" i="1"/>
  <c r="H29" i="1"/>
  <c r="H55" i="1"/>
  <c r="K56" i="1" s="1"/>
  <c r="H65" i="1"/>
  <c r="K67" i="1" s="1"/>
  <c r="K8" i="1" l="1"/>
  <c r="K9" i="1" s="1"/>
  <c r="K14" i="1" l="1"/>
  <c r="K15" i="1"/>
  <c r="K16" i="1" s="1"/>
  <c r="K1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7" authorId="0" shapeId="0" xr:uid="{DEFC4D04-639B-48FB-9C0C-EDE10182CD2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1. Start here 
2. check materials 
3. check quantities 
4. check internals and externals 
5. check back side </t>
        </r>
      </text>
    </comment>
    <comment ref="F8" authorId="0" shapeId="0" xr:uid="{321F588C-4E25-4635-A7EA-B1AB87A28C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Must be the size of the individual cupboard</t>
        </r>
      </text>
    </comment>
    <comment ref="F10" authorId="0" shapeId="0" xr:uid="{F6AAE335-FECC-477A-9325-75809261FE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actual cabinet height</t>
        </r>
      </text>
    </comment>
    <comment ref="F11" authorId="0" shapeId="0" xr:uid="{E27E48F7-9F60-4954-AD29-4833241CE4F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If large quantities double check # of shelves to not over charge </t>
        </r>
      </text>
    </comment>
    <comment ref="D26" authorId="0" shapeId="0" xr:uid="{38D1A4FD-D645-40CE-8DD7-3BFBA8A612D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double check if the quantites are high
</t>
        </r>
      </text>
    </comment>
    <comment ref="D35" authorId="0" shapeId="0" xr:uid="{B956AE36-C681-444C-88B2-66EE912FE47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make = 0 if no drawers</t>
        </r>
      </text>
    </comment>
    <comment ref="Q37" authorId="0" shapeId="0" xr:uid="{9A21D340-C355-4500-865E-EF941DC3C68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Don’t make =0 if you want to remove drawer cost!
make D35:D37 = 0</t>
        </r>
      </text>
    </comment>
    <comment ref="D47" authorId="0" shapeId="0" xr:uid="{90B2C95A-C617-4F38-822F-400ADEE84C4D}">
      <text>
        <r>
          <rPr>
            <b/>
            <sz val="9"/>
            <color indexed="81"/>
            <rFont val="Tahoma"/>
            <charset val="1"/>
          </rPr>
          <t>please note:
this is not total number of seen ends 
this is the exact number calculated</t>
        </r>
      </text>
    </comment>
    <comment ref="D60" authorId="0" shapeId="0" xr:uid="{86A7B6FE-CD40-41A5-8174-6E9227D093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change back board value to 0 if there is masonite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<sst xmlns="http://schemas.openxmlformats.org/spreadsheetml/2006/main" count="213" uniqueCount="151">
  <si>
    <t>carcass material cost</t>
  </si>
  <si>
    <t>board size</t>
  </si>
  <si>
    <t>cost per sheet</t>
  </si>
  <si>
    <t>cost per sq meter</t>
  </si>
  <si>
    <t xml:space="preserve">area of sheet </t>
  </si>
  <si>
    <t>(including Vat)</t>
  </si>
  <si>
    <t>MASONITE</t>
  </si>
  <si>
    <t>BASE</t>
  </si>
  <si>
    <t>edging cost</t>
  </si>
  <si>
    <t>total cost</t>
  </si>
  <si>
    <t>TOTAL COST</t>
  </si>
  <si>
    <t xml:space="preserve">CARCASS COST CALCULATION </t>
  </si>
  <si>
    <t xml:space="preserve">CARCASS MATERIAL COST </t>
  </si>
  <si>
    <t>DIMENSIONS</t>
  </si>
  <si>
    <t>AREA</t>
  </si>
  <si>
    <t/>
  </si>
  <si>
    <t>TOTAL AREA</t>
  </si>
  <si>
    <t>EDGING</t>
  </si>
  <si>
    <t>MEASUREMENTS</t>
  </si>
  <si>
    <t>INTERNALS</t>
  </si>
  <si>
    <t>HEIGHTS</t>
  </si>
  <si>
    <t># OF:</t>
  </si>
  <si>
    <t>TOTAL #:</t>
  </si>
  <si>
    <t>DRAWERS</t>
  </si>
  <si>
    <t>POT DRAWERS</t>
  </si>
  <si>
    <t>TOP</t>
  </si>
  <si>
    <t>DOORS</t>
  </si>
  <si>
    <t>SEEN ENDS</t>
  </si>
  <si>
    <t>CAPPING</t>
  </si>
  <si>
    <t>SKIRTING</t>
  </si>
  <si>
    <t xml:space="preserve">BOTTOM SIDE </t>
  </si>
  <si>
    <t xml:space="preserve">BACK SIDE </t>
  </si>
  <si>
    <t xml:space="preserve">BASES </t>
  </si>
  <si>
    <t xml:space="preserve">BACK BOARD </t>
  </si>
  <si>
    <t xml:space="preserve">TOP SIDE </t>
  </si>
  <si>
    <t>SIDES</t>
  </si>
  <si>
    <t>RAILS</t>
  </si>
  <si>
    <t>SHELF</t>
  </si>
  <si>
    <t xml:space="preserve">MATERIAL </t>
  </si>
  <si>
    <t xml:space="preserve">BOARD SIZE </t>
  </si>
  <si>
    <t xml:space="preserve">COST PER SQ METER </t>
  </si>
  <si>
    <t xml:space="preserve">EDGING COST </t>
  </si>
  <si>
    <t xml:space="preserve">AREA OF SHEET </t>
  </si>
  <si>
    <t>COST PER SHEET</t>
  </si>
  <si>
    <t xml:space="preserve">LENGTH </t>
  </si>
  <si>
    <t xml:space="preserve">DEPTH </t>
  </si>
  <si>
    <t xml:space="preserve">NUMBER OF </t>
  </si>
  <si>
    <t>COST</t>
  </si>
  <si>
    <t>TOTAL EDGING</t>
  </si>
  <si>
    <t>EDGING COST</t>
  </si>
  <si>
    <t>MATERIAL</t>
  </si>
  <si>
    <t>BOARD TOTAL COST</t>
  </si>
  <si>
    <t>HARDWARE TOTAL COST</t>
  </si>
  <si>
    <t>LABOUR COST</t>
  </si>
  <si>
    <t>TRANSPORT COST</t>
  </si>
  <si>
    <t>CONSUMABLES</t>
  </si>
  <si>
    <t>PROFIT</t>
  </si>
  <si>
    <t>COMMISION</t>
  </si>
  <si>
    <t>OTHER</t>
  </si>
  <si>
    <t>LENGTH</t>
  </si>
  <si>
    <t>DEPTH</t>
  </si>
  <si>
    <t>HEIGHT</t>
  </si>
  <si>
    <t>NUMBER OF</t>
  </si>
  <si>
    <t xml:space="preserve">BASE </t>
  </si>
  <si>
    <t>TALL</t>
  </si>
  <si>
    <t>WALL</t>
  </si>
  <si>
    <t>CEILING</t>
  </si>
  <si>
    <t>TOTAL</t>
  </si>
  <si>
    <t>QUOTATION ESTIMATE</t>
  </si>
  <si>
    <t>OPTIONAL INTERNALS</t>
  </si>
  <si>
    <t>EXTERNALS</t>
  </si>
  <si>
    <t>BACK AND BASES</t>
  </si>
  <si>
    <t>SPECIFICATIONS</t>
  </si>
  <si>
    <t>INSTRUCTIONS</t>
  </si>
  <si>
    <t>1. SELECT UNIT TYPE</t>
  </si>
  <si>
    <t>4. SELECT NUMBER OF SHELVES AND TOTAL # OF SIDES</t>
  </si>
  <si>
    <t>7. AT EXTERNALS  ENTER # OF  DOORS, SEEN ENDS ETC.</t>
  </si>
  <si>
    <r>
      <t xml:space="preserve">2. FILL IN SPECIFICATIONS </t>
    </r>
    <r>
      <rPr>
        <sz val="11"/>
        <color rgb="FFFF0000"/>
        <rFont val="Calibri"/>
        <family val="2"/>
        <scheme val="minor"/>
      </rPr>
      <t>(DOUBLE CHECK NUMBER OF)</t>
    </r>
  </si>
  <si>
    <r>
      <t xml:space="preserve">3. SELECT CARCASS MATERIAL </t>
    </r>
    <r>
      <rPr>
        <sz val="11"/>
        <color rgb="FFFF0000"/>
        <rFont val="Calibri"/>
        <family val="2"/>
        <scheme val="minor"/>
      </rPr>
      <t>(DOUBLE CHECK EDGING COST)</t>
    </r>
  </si>
  <si>
    <r>
      <t xml:space="preserve">5. SELECT # OF DRAWERS </t>
    </r>
    <r>
      <rPr>
        <sz val="11"/>
        <color rgb="FFFF0000"/>
        <rFont val="Calibri"/>
        <family val="2"/>
        <scheme val="minor"/>
      </rPr>
      <t>(DOUBLE CHECK MEASUREMENTS)</t>
    </r>
  </si>
  <si>
    <r>
      <t xml:space="preserve">6. SELECT INTERNAL DIMENSIONS </t>
    </r>
    <r>
      <rPr>
        <sz val="11"/>
        <color rgb="FFFF0000"/>
        <rFont val="Calibri"/>
        <family val="2"/>
        <scheme val="minor"/>
      </rPr>
      <t>(DOUBLE CHECK NUMBER OF)</t>
    </r>
  </si>
  <si>
    <r>
      <t xml:space="preserve">8. SELECT EXTERNALS MATERIAL. </t>
    </r>
    <r>
      <rPr>
        <sz val="11"/>
        <color rgb="FFFF0000"/>
        <rFont val="Calibri"/>
        <family val="2"/>
        <scheme val="minor"/>
      </rPr>
      <t>(DOUBLE CHECK EDGING COST)</t>
    </r>
  </si>
  <si>
    <t>9. SELECT WHETER OR NOT THERE IS A BACK BOARD</t>
  </si>
  <si>
    <t>10. BOART COST CALCULATIONS ARE DONE</t>
  </si>
  <si>
    <t xml:space="preserve">COST CALCULATIONS </t>
  </si>
  <si>
    <t>BOARD COST CALCALATIONS</t>
  </si>
  <si>
    <t xml:space="preserve">WALL SPACE </t>
  </si>
  <si>
    <t>ADD CUPBOARD DEPTHS FOR BASE, WALL AND TALL UNITS</t>
  </si>
  <si>
    <t>NOTES:</t>
  </si>
  <si>
    <t xml:space="preserve">CREATE BUTTONS FOR DISFFERENT TYPES OF CUPBOARDS </t>
  </si>
  <si>
    <t>CREATE A HEADER</t>
  </si>
  <si>
    <t>DO LABOUR COST CALCULATION</t>
  </si>
  <si>
    <t>DO HARDWARE LIST CALCULATION</t>
  </si>
  <si>
    <t>CONSUMABLR CALCULATIONS</t>
  </si>
  <si>
    <t>TRANSPORT CALCULATION</t>
  </si>
  <si>
    <t>PROFIT CALCULATION</t>
  </si>
  <si>
    <t xml:space="preserve">COMMISIION CALCULAATION </t>
  </si>
  <si>
    <t>CAPITALIZE EXTERNAL MATERIAL COST HEADINGS</t>
  </si>
  <si>
    <t>EXTERNAL MATERIAL COST</t>
  </si>
  <si>
    <t>PLUS WASTAGE</t>
  </si>
  <si>
    <t>LABOUR COST CALCULATION</t>
  </si>
  <si>
    <t xml:space="preserve">CUTTING </t>
  </si>
  <si>
    <t>ASSEMBLING</t>
  </si>
  <si>
    <t>FINISHING</t>
  </si>
  <si>
    <t xml:space="preserve">HOURLY RATE </t>
  </si>
  <si>
    <t>ORGANIZE</t>
  </si>
  <si>
    <t xml:space="preserve">TIME TO BUILD </t>
  </si>
  <si>
    <t>TRANSPORTATION COSTS</t>
  </si>
  <si>
    <t>AVERAGE CONSU,MPTION</t>
  </si>
  <si>
    <t>FUEL PRICE</t>
  </si>
  <si>
    <t>NUMBER OF TRUPS</t>
  </si>
  <si>
    <t>NUMBER OF VEHICLES</t>
  </si>
  <si>
    <t>TOTAL FUEL COSTS</t>
  </si>
  <si>
    <t xml:space="preserve">DISTANCE </t>
  </si>
  <si>
    <t>COST PER KILOMETER</t>
  </si>
  <si>
    <t>TOTAL DISTANCE</t>
  </si>
  <si>
    <t>COMBINED COMSUMPTION</t>
  </si>
  <si>
    <t>kms</t>
  </si>
  <si>
    <t>R/liter</t>
  </si>
  <si>
    <t>liters/100Km</t>
  </si>
  <si>
    <t>HARDWARE COSTS</t>
  </si>
  <si>
    <t xml:space="preserve">BASE UNITS </t>
  </si>
  <si>
    <t xml:space="preserve">TALL UNITS </t>
  </si>
  <si>
    <t>WALL UNITS</t>
  </si>
  <si>
    <t>HANDLES</t>
  </si>
  <si>
    <t>BEDROOM CUPBOARDS</t>
  </si>
  <si>
    <t>HANGING RAILS</t>
  </si>
  <si>
    <t>NUNBER OF PEOPLE</t>
  </si>
  <si>
    <t>FIXED RATE PER METER</t>
  </si>
  <si>
    <t>ADD NUMBER OF SHEETS CALCULATION</t>
  </si>
  <si>
    <t># OF SHEETS</t>
  </si>
  <si>
    <t xml:space="preserve">HEIGHT </t>
  </si>
  <si>
    <t>FINISH</t>
  </si>
  <si>
    <t>WALL SPACE</t>
  </si>
  <si>
    <t>FRIDGE</t>
  </si>
  <si>
    <t>MICROWAVE</t>
  </si>
  <si>
    <t>HOB</t>
  </si>
  <si>
    <t>OVEN</t>
  </si>
  <si>
    <t>SINK</t>
  </si>
  <si>
    <t>WALL LAYER 1</t>
  </si>
  <si>
    <t>WALL LAYER 2</t>
  </si>
  <si>
    <t>COUNTER FINISH HEIGHT</t>
  </si>
  <si>
    <t>COUNTERTOP THICKNESS</t>
  </si>
  <si>
    <t>THE POINT</t>
  </si>
  <si>
    <t>BASE UNITS, WALL UNITS, TALL UNITS WILL ALL BE INCLUDED IN SPECIFICATIONS AN</t>
  </si>
  <si>
    <t xml:space="preserve">FULL LENGHTS OF WALLS NEED TO BE FILLED IN TO GET A QUICK COSTING  </t>
  </si>
  <si>
    <t>LENGTHD OF CABINETS AND NUMBER OF IS IMPORTANT</t>
  </si>
  <si>
    <t xml:space="preserve">TO USE MEASUREMENTS PROVIDED TO AUTOMATE QUOTING A PROJECT SIMPLE AND EASY </t>
  </si>
  <si>
    <t>WHITE</t>
  </si>
  <si>
    <t>BASE UNIT</t>
  </si>
  <si>
    <t>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</si>
</sst>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164" formatCode="_-[$R-1C09]* #,##0.00_-;\-[$R-1C09]* #,##0.00_-;_-[$R-1C09]* &quot;-&quot;??_-;_-@_-"/>
    <numFmt numFmtId="165" formatCode="0.0000"/>
    <numFmt numFmtId="166" formatCode="[$R-1C09]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2"/>
      <color rgb="FFFA7D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3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/>
      <bottom/>
      <diagonal/>
    </border>
    <border>
      <left/>
      <right/>
      <top style="thick">
        <color theme="4"/>
      </top>
      <bottom style="thick">
        <color theme="4" tint="0.49998474074526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theme="4"/>
      </bottom>
      <diagonal/>
    </border>
    <border>
      <left/>
      <right/>
      <top style="thick">
        <color theme="4" tint="0.499984740745262"/>
      </top>
      <bottom/>
      <diagonal/>
    </border>
    <border>
      <left/>
      <right style="medium">
        <color indexed="64"/>
      </right>
      <top style="thick">
        <color theme="4" tint="0.499984740745262"/>
      </top>
      <bottom/>
      <diagonal/>
    </border>
    <border>
      <left/>
      <right style="thin">
        <color rgb="FFB2B2B2"/>
      </right>
      <top/>
      <bottom/>
      <diagonal/>
    </border>
    <border>
      <left/>
      <right style="thin">
        <color rgb="FF7F7F7F"/>
      </right>
      <top style="thick">
        <color theme="4" tint="0.499984740745262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4" applyNumberFormat="0" applyAlignment="0" applyProtection="0"/>
    <xf numFmtId="0" fontId="7" fillId="3" borderId="5" applyNumberFormat="0" applyAlignment="0" applyProtection="0"/>
    <xf numFmtId="0" fontId="8" fillId="3" borderId="4" applyNumberFormat="0" applyAlignment="0" applyProtection="0"/>
    <xf numFmtId="0" fontId="1" fillId="4" borderId="6" applyNumberFormat="0" applyFont="0" applyAlignment="0" applyProtection="0"/>
    <xf numFmtId="0" fontId="10" fillId="0" borderId="7" applyNumberFormat="0" applyFill="0" applyAlignment="0" applyProtection="0"/>
    <xf numFmtId="0" fontId="1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77">
    <xf numFmtId="0" fontId="0" fillId="0" borderId="0" xfId="0"/>
    <xf numFmtId="0" fontId="8" fillId="3" borderId="4" xfId="9"/>
    <xf numFmtId="0" fontId="1" fillId="7" borderId="6" xfId="14" applyBorder="1"/>
    <xf numFmtId="0" fontId="5" fillId="0" borderId="0" xfId="6" applyBorder="1"/>
    <xf numFmtId="0" fontId="0" fillId="8" borderId="0" xfId="0" applyFill="1"/>
    <xf numFmtId="0" fontId="1" fillId="4" borderId="6" xfId="10"/>
    <xf numFmtId="0" fontId="1" fillId="7" borderId="9" xfId="14" applyBorder="1"/>
    <xf numFmtId="0" fontId="1" fillId="7" borderId="11" xfId="14" applyBorder="1"/>
    <xf numFmtId="0" fontId="6" fillId="2" borderId="4" xfId="7"/>
    <xf numFmtId="0" fontId="0" fillId="0" borderId="13" xfId="0" applyBorder="1"/>
    <xf numFmtId="42" fontId="12" fillId="3" borderId="10" xfId="9" applyNumberFormat="1" applyFont="1" applyBorder="1" applyAlignment="1">
      <alignment horizontal="center" vertical="center"/>
    </xf>
    <xf numFmtId="0" fontId="1" fillId="4" borderId="14" xfId="10" applyBorder="1"/>
    <xf numFmtId="0" fontId="1" fillId="4" borderId="15" xfId="10" applyBorder="1"/>
    <xf numFmtId="0" fontId="1" fillId="4" borderId="8" xfId="10" applyFont="1" applyBorder="1" applyAlignment="1">
      <alignment horizontal="right"/>
    </xf>
    <xf numFmtId="0" fontId="11" fillId="5" borderId="6" xfId="12" applyBorder="1"/>
    <xf numFmtId="0" fontId="5" fillId="0" borderId="17" xfId="4" applyFont="1" applyBorder="1"/>
    <xf numFmtId="0" fontId="15" fillId="0" borderId="0" xfId="5" applyFont="1" applyBorder="1" applyAlignment="1">
      <alignment horizontal="left"/>
    </xf>
    <xf numFmtId="0" fontId="15" fillId="0" borderId="0" xfId="5" applyFont="1" applyBorder="1"/>
    <xf numFmtId="0" fontId="16" fillId="0" borderId="0" xfId="0" applyFont="1"/>
    <xf numFmtId="165" fontId="8" fillId="3" borderId="4" xfId="9" applyNumberFormat="1"/>
    <xf numFmtId="2" fontId="8" fillId="3" borderId="4" xfId="9" applyNumberFormat="1"/>
    <xf numFmtId="0" fontId="1" fillId="6" borderId="0" xfId="13"/>
    <xf numFmtId="0" fontId="5" fillId="0" borderId="17" xfId="4" applyFont="1" applyBorder="1" applyAlignment="1">
      <alignment horizontal="right"/>
    </xf>
    <xf numFmtId="42" fontId="16" fillId="0" borderId="0" xfId="0" applyNumberFormat="1" applyFont="1" applyAlignment="1">
      <alignment horizontal="right"/>
    </xf>
    <xf numFmtId="0" fontId="1" fillId="8" borderId="0" xfId="13" applyFill="1"/>
    <xf numFmtId="164" fontId="8" fillId="3" borderId="4" xfId="9" applyNumberFormat="1"/>
    <xf numFmtId="0" fontId="17" fillId="0" borderId="19" xfId="6" applyFont="1" applyBorder="1"/>
    <xf numFmtId="0" fontId="17" fillId="0" borderId="0" xfId="6" applyFont="1" applyBorder="1"/>
    <xf numFmtId="0" fontId="5" fillId="0" borderId="0" xfId="6" applyFill="1" applyBorder="1"/>
    <xf numFmtId="0" fontId="6" fillId="2" borderId="4" xfId="7" applyAlignment="1">
      <alignment horizontal="center"/>
    </xf>
    <xf numFmtId="0" fontId="5" fillId="0" borderId="2" xfId="4" applyFont="1"/>
    <xf numFmtId="0" fontId="7" fillId="3" borderId="5" xfId="8"/>
    <xf numFmtId="0" fontId="0" fillId="4" borderId="18" xfId="10" applyFont="1" applyBorder="1"/>
    <xf numFmtId="0" fontId="6" fillId="2" borderId="21" xfId="7" applyBorder="1"/>
    <xf numFmtId="0" fontId="5" fillId="0" borderId="17" xfId="4" applyFont="1" applyBorder="1" applyAlignment="1">
      <alignment horizontal="center"/>
    </xf>
    <xf numFmtId="164" fontId="13" fillId="9" borderId="23" xfId="11" applyNumberFormat="1" applyFont="1" applyFill="1" applyBorder="1"/>
    <xf numFmtId="0" fontId="0" fillId="6" borderId="0" xfId="13" applyFont="1"/>
    <xf numFmtId="0" fontId="7" fillId="3" borderId="29" xfId="8" applyBorder="1"/>
    <xf numFmtId="0" fontId="5" fillId="0" borderId="2" xfId="4" applyFont="1" applyAlignment="1">
      <alignment horizontal="center"/>
    </xf>
    <xf numFmtId="42" fontId="16" fillId="0" borderId="0" xfId="0" applyNumberFormat="1" applyFont="1" applyAlignment="1">
      <alignment horizontal="center"/>
    </xf>
    <xf numFmtId="0" fontId="7" fillId="3" borderId="5" xfId="8" applyAlignment="1">
      <alignment horizontal="center"/>
    </xf>
    <xf numFmtId="0" fontId="7" fillId="3" borderId="29" xfId="8" applyBorder="1" applyAlignment="1">
      <alignment horizontal="center"/>
    </xf>
    <xf numFmtId="0" fontId="1" fillId="4" borderId="6" xfId="10" applyAlignment="1">
      <alignment horizontal="center"/>
    </xf>
    <xf numFmtId="9" fontId="0" fillId="8" borderId="0" xfId="0" applyNumberFormat="1" applyFill="1"/>
    <xf numFmtId="0" fontId="17" fillId="0" borderId="0" xfId="6" applyFont="1" applyBorder="1" applyAlignment="1"/>
    <xf numFmtId="9" fontId="17" fillId="0" borderId="19" xfId="6" applyNumberFormat="1" applyFont="1" applyBorder="1" applyAlignment="1"/>
    <xf numFmtId="166" fontId="0" fillId="0" borderId="0" xfId="0" applyNumberFormat="1"/>
    <xf numFmtId="0" fontId="1" fillId="7" borderId="6" xfId="14" applyBorder="1" applyAlignment="1">
      <alignment horizontal="center" vertical="center"/>
    </xf>
    <xf numFmtId="0" fontId="1" fillId="4" borderId="6" xfId="10" applyAlignment="1">
      <alignment horizontal="center" vertical="center"/>
    </xf>
    <xf numFmtId="0" fontId="6" fillId="2" borderId="4" xfId="7" applyAlignment="1">
      <alignment horizontal="center" vertical="center"/>
    </xf>
    <xf numFmtId="0" fontId="1" fillId="4" borderId="8" xfId="10" applyBorder="1" applyAlignment="1">
      <alignment horizontal="center" vertical="center"/>
    </xf>
    <xf numFmtId="0" fontId="0" fillId="4" borderId="12" xfId="10" applyFont="1" applyBorder="1" applyAlignment="1">
      <alignment horizontal="center" vertical="center"/>
    </xf>
    <xf numFmtId="0" fontId="18" fillId="3" borderId="30" xfId="9" applyFont="1" applyBorder="1" applyAlignment="1">
      <alignment horizontal="right" vertical="center"/>
    </xf>
    <xf numFmtId="0" fontId="18" fillId="3" borderId="31" xfId="9" applyFont="1" applyBorder="1" applyAlignment="1">
      <alignment horizontal="right" vertical="center"/>
    </xf>
    <xf numFmtId="0" fontId="18" fillId="3" borderId="32" xfId="9" applyFont="1" applyBorder="1" applyAlignment="1">
      <alignment horizontal="right" vertical="center"/>
    </xf>
    <xf numFmtId="0" fontId="0" fillId="0" borderId="0" xfId="0"/>
    <xf numFmtId="0" fontId="14" fillId="0" borderId="24" xfId="6" applyFont="1" applyBorder="1"/>
    <xf numFmtId="0" fontId="14" fillId="0" borderId="27" xfId="6" applyFont="1" applyBorder="1"/>
    <xf numFmtId="0" fontId="14" fillId="0" borderId="0" xfId="6" applyFont="1" applyBorder="1"/>
    <xf numFmtId="0" fontId="14" fillId="0" borderId="19" xfId="6" applyFont="1" applyBorder="1"/>
    <xf numFmtId="0" fontId="14" fillId="0" borderId="0" xfId="6" applyFont="1" applyBorder="1" applyAlignment="1"/>
    <xf numFmtId="0" fontId="14" fillId="0" borderId="19" xfId="6" applyFont="1" applyBorder="1" applyAlignment="1"/>
    <xf numFmtId="0" fontId="14" fillId="0" borderId="26" xfId="6" applyFont="1" applyBorder="1"/>
    <xf numFmtId="0" fontId="14" fillId="0" borderId="16" xfId="6" applyFont="1" applyBorder="1"/>
    <xf numFmtId="0" fontId="3" fillId="8" borderId="1" xfId="3" applyFill="1" applyAlignment="1">
      <alignment horizontal="center"/>
    </xf>
    <xf numFmtId="0" fontId="4" fillId="0" borderId="20" xfId="4" applyBorder="1"/>
    <xf numFmtId="0" fontId="14" fillId="0" borderId="24" xfId="5" applyFont="1" applyFill="1" applyBorder="1"/>
    <xf numFmtId="0" fontId="14" fillId="0" borderId="25" xfId="5" applyFont="1" applyFill="1" applyBorder="1"/>
    <xf numFmtId="0" fontId="19" fillId="0" borderId="0" xfId="2" applyFont="1" applyAlignment="1">
      <alignment horizontal="center" vertical="center"/>
    </xf>
    <xf numFmtId="0" fontId="5" fillId="0" borderId="3" xfId="5"/>
    <xf numFmtId="0" fontId="4" fillId="0" borderId="17" xfId="4" applyBorder="1"/>
    <xf numFmtId="0" fontId="3" fillId="0" borderId="1" xfId="3" applyAlignment="1">
      <alignment horizontal="center"/>
    </xf>
    <xf numFmtId="0" fontId="17" fillId="0" borderId="0" xfId="6" applyFont="1" applyBorder="1"/>
    <xf numFmtId="0" fontId="17" fillId="0" borderId="19" xfId="6" applyFont="1" applyBorder="1"/>
    <xf numFmtId="0" fontId="4" fillId="0" borderId="20" xfId="4" applyBorder="1" applyAlignment="1">
      <alignment horizontal="center"/>
    </xf>
    <xf numFmtId="0" fontId="18" fillId="3" borderId="28" xfId="9" applyFont="1" applyBorder="1" applyAlignment="1">
      <alignment horizontal="right" vertical="center"/>
    </xf>
    <xf numFmtId="0" fontId="18" fillId="3" borderId="22" xfId="9" applyFont="1" applyBorder="1" applyAlignment="1">
      <alignment horizontal="right" vertical="center"/>
    </xf>
  </cellXfs>
  <cellStyles count="15">
    <cellStyle name="20% - Accent3" xfId="13" builtinId="38"/>
    <cellStyle name="20% - Accent6" xfId="14" builtinId="50"/>
    <cellStyle name="Accent3" xfId="12" builtinId="37"/>
    <cellStyle name="Calculation" xfId="9" builtinId="22"/>
    <cellStyle name="Currency [0]" xfId="1" builtinId="7" customBuiltin="1"/>
    <cellStyle name="Heading 1" xfId="3" builtinId="16"/>
    <cellStyle name="Heading 2" xfId="4" builtinId="17"/>
    <cellStyle name="Heading 3" xfId="5" builtinId="18"/>
    <cellStyle name="Heading 4" xfId="6" builtinId="19"/>
    <cellStyle name="Input" xfId="7" builtinId="20"/>
    <cellStyle name="Normal" xfId="0" builtinId="0"/>
    <cellStyle name="Note" xfId="10" builtinId="10"/>
    <cellStyle name="Output" xfId="8" builtinId="21"/>
    <cellStyle name="Title" xfId="2" builtinId="15"/>
    <cellStyle name="Total" xfId="1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E26EA9-93AB-443C-9578-FF2FF138A4E8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afbe5e5c-24b3-4fb2-8bba-1504b9c0921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6FC0-A9BC-4745-ABB8-C3F5A7138584}">
  <sheetPr codeName="Sheet1"/>
  <dimension ref="A1:AA132"/>
  <sheetViews>
    <sheetView tabSelected="1" topLeftCell="A9" zoomScale="85" zoomScaleNormal="85" workbookViewId="0">
      <selection activeCell="H19" sqref="H19"/>
    </sheetView>
  </sheetViews>
  <sheetFormatPr defaultRowHeight="14.5" x14ac:dyDescent="0.35"/>
  <cols>
    <col min="1" max="1" width="8.7265625" style="4"/>
    <col min="2" max="2" width="13.1796875" bestFit="1" customWidth="1"/>
    <col min="3" max="3" width="6.81640625" bestFit="1" customWidth="1"/>
    <col min="4" max="4" width="8.7265625" customWidth="1"/>
    <col min="5" max="5" width="10.81640625" customWidth="1"/>
    <col min="6" max="6" width="8.7265625" customWidth="1"/>
    <col min="7" max="7" width="10.26953125" bestFit="1" customWidth="1"/>
    <col min="8" max="8" width="10.81640625" customWidth="1"/>
    <col min="9" max="9" width="12.1796875" customWidth="1"/>
    <col min="10" max="10" width="12.81640625" customWidth="1"/>
    <col min="11" max="11" width="16.54296875" customWidth="1"/>
    <col min="12" max="12" width="11.08984375" customWidth="1"/>
    <col min="13" max="13" width="7.453125" customWidth="1"/>
    <col min="17" max="17" width="13.6328125" bestFit="1" customWidth="1"/>
    <col min="20" max="20" width="8.7265625" style="4"/>
    <col min="21" max="16384" width="8.7265625" style="21"/>
  </cols>
  <sheetData>
    <row r="1" spans="2:27" x14ac:dyDescent="0.35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27" ht="23.5" customHeight="1" x14ac:dyDescent="0.35">
      <c r="B2" s="68" t="s">
        <v>84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3" spans="2:27" ht="23.5" customHeight="1" x14ac:dyDescent="0.35"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</row>
    <row r="4" spans="2:27" x14ac:dyDescent="0.3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27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27" ht="20" thickBot="1" x14ac:dyDescent="0.5">
      <c r="B6" s="71" t="s">
        <v>72</v>
      </c>
      <c r="C6" s="71"/>
      <c r="D6" s="71"/>
      <c r="E6" s="71"/>
      <c r="F6" s="71"/>
      <c r="G6" s="71"/>
      <c r="H6" s="4"/>
      <c r="I6" s="71" t="s">
        <v>68</v>
      </c>
      <c r="J6" s="71"/>
      <c r="K6" s="71"/>
      <c r="L6" s="4"/>
      <c r="M6" s="4"/>
      <c r="N6" s="64" t="s">
        <v>73</v>
      </c>
      <c r="O6" s="64"/>
      <c r="P6" s="64"/>
      <c r="Q6" s="64"/>
      <c r="R6" s="64"/>
      <c r="S6" s="64"/>
      <c r="V6" s="36" t="s">
        <v>88</v>
      </c>
    </row>
    <row r="7" spans="2:27" ht="18" thickTop="1" thickBot="1" x14ac:dyDescent="0.45">
      <c r="B7" s="74" t="s">
        <v>20</v>
      </c>
      <c r="C7" s="74"/>
      <c r="D7" s="74"/>
      <c r="E7" s="74" t="s">
        <v>149</v>
      </c>
      <c r="F7" s="74"/>
      <c r="G7" s="74"/>
      <c r="H7" s="4"/>
      <c r="I7" s="70"/>
      <c r="J7" s="70"/>
      <c r="K7" s="70"/>
      <c r="L7" s="4"/>
      <c r="M7" s="4"/>
      <c r="N7" s="69" t="s">
        <v>85</v>
      </c>
      <c r="O7" s="69"/>
      <c r="P7" s="69"/>
      <c r="Q7" s="69"/>
      <c r="R7" s="69"/>
      <c r="S7" s="69"/>
      <c r="V7" t="s">
        <v>87</v>
      </c>
      <c r="W7"/>
      <c r="X7"/>
      <c r="Y7"/>
      <c r="Z7"/>
      <c r="AA7"/>
    </row>
    <row r="8" spans="2:27" ht="16.5" customHeight="1" thickTop="1" x14ac:dyDescent="0.35">
      <c r="B8" s="3" t="s">
        <v>63</v>
      </c>
      <c r="C8" s="5">
        <f>880-C12</f>
        <v>780</v>
      </c>
      <c r="E8" s="3" t="s">
        <v>59</v>
      </c>
      <c r="F8" s="8">
        <v>800</v>
      </c>
      <c r="H8" s="4"/>
      <c r="I8" s="72" t="s">
        <v>51</v>
      </c>
      <c r="J8" s="73"/>
      <c r="K8" s="25">
        <f>SUM(K31,K42,K56,K67)</f>
        <v>4920.6876304023845</v>
      </c>
      <c r="L8" s="4"/>
      <c r="M8" s="4"/>
      <c r="N8" s="55" t="s">
        <v>74</v>
      </c>
      <c r="O8" s="55"/>
      <c r="P8" s="55"/>
      <c r="Q8" s="55"/>
      <c r="R8" s="55"/>
      <c r="S8" s="55"/>
      <c r="V8" t="s">
        <v>89</v>
      </c>
      <c r="W8"/>
      <c r="X8"/>
      <c r="Y8"/>
      <c r="Z8"/>
      <c r="AA8"/>
    </row>
    <row r="9" spans="2:27" ht="15.5" customHeight="1" x14ac:dyDescent="0.35">
      <c r="B9" s="3" t="s">
        <v>64</v>
      </c>
      <c r="C9" s="5">
        <f>C11-C12-C13</f>
        <v>2100</v>
      </c>
      <c r="E9" s="3" t="s">
        <v>60</v>
      </c>
      <c r="F9" s="5">
        <v>300</v>
      </c>
      <c r="H9" s="4"/>
      <c r="I9" s="44" t="s">
        <v>99</v>
      </c>
      <c r="J9" s="45">
        <v>0.2</v>
      </c>
      <c r="K9" s="25">
        <f>K8*(1+J9)</f>
        <v>5904.8251564828615</v>
      </c>
      <c r="L9" s="43"/>
      <c r="M9" s="4"/>
      <c r="N9" s="55" t="s">
        <v>77</v>
      </c>
      <c r="O9" s="55"/>
      <c r="P9" s="55"/>
      <c r="Q9" s="55"/>
      <c r="R9" s="55"/>
      <c r="S9" s="55"/>
      <c r="V9" t="s">
        <v>90</v>
      </c>
      <c r="W9"/>
      <c r="X9"/>
      <c r="Y9"/>
      <c r="Z9"/>
      <c r="AA9"/>
    </row>
    <row r="10" spans="2:27" ht="16" customHeight="1" x14ac:dyDescent="0.35">
      <c r="B10" s="3" t="s">
        <v>65</v>
      </c>
      <c r="C10" s="5">
        <f>C9-C8-C14-C12</f>
        <v>620</v>
      </c>
      <c r="E10" s="3" t="s">
        <v>61</v>
      </c>
      <c r="F10" s="5">
        <v>620</v>
      </c>
      <c r="H10" s="4"/>
      <c r="I10" s="72" t="s">
        <v>52</v>
      </c>
      <c r="J10" s="73"/>
      <c r="K10" s="25">
        <v>5000</v>
      </c>
      <c r="L10" s="4"/>
      <c r="M10" s="4"/>
      <c r="N10" s="55" t="s">
        <v>78</v>
      </c>
      <c r="O10" s="55"/>
      <c r="P10" s="55"/>
      <c r="Q10" s="55"/>
      <c r="R10" s="55"/>
      <c r="S10" s="55"/>
      <c r="V10"/>
      <c r="W10"/>
      <c r="X10"/>
      <c r="Y10"/>
      <c r="Z10"/>
      <c r="AA10"/>
    </row>
    <row r="11" spans="2:27" ht="16" customHeight="1" x14ac:dyDescent="0.35">
      <c r="B11" s="3" t="s">
        <v>66</v>
      </c>
      <c r="C11" s="8">
        <v>2200</v>
      </c>
      <c r="E11" s="3" t="s">
        <v>62</v>
      </c>
      <c r="F11" s="8">
        <v>4</v>
      </c>
      <c r="H11" s="4"/>
      <c r="I11" s="27" t="s">
        <v>53</v>
      </c>
      <c r="J11" s="26"/>
      <c r="K11" s="25">
        <f>D88*F11</f>
        <v>1280</v>
      </c>
      <c r="L11" s="4"/>
      <c r="M11" s="4"/>
      <c r="N11" s="55" t="s">
        <v>75</v>
      </c>
      <c r="O11" s="55"/>
      <c r="P11" s="55"/>
      <c r="Q11" s="55"/>
      <c r="R11" s="55"/>
      <c r="S11" s="55"/>
      <c r="V11" t="s">
        <v>129</v>
      </c>
      <c r="W11"/>
      <c r="X11"/>
      <c r="Y11"/>
      <c r="Z11"/>
      <c r="AA11"/>
    </row>
    <row r="12" spans="2:27" ht="15.5" customHeight="1" x14ac:dyDescent="0.35">
      <c r="B12" s="28" t="s">
        <v>63</v>
      </c>
      <c r="C12" s="8">
        <v>100</v>
      </c>
      <c r="H12" s="4"/>
      <c r="I12" s="27" t="s">
        <v>55</v>
      </c>
      <c r="J12" s="26"/>
      <c r="K12" s="25"/>
      <c r="L12" s="4"/>
      <c r="M12" s="4"/>
      <c r="N12" s="55" t="s">
        <v>79</v>
      </c>
      <c r="O12" s="55"/>
      <c r="P12" s="55"/>
      <c r="Q12" s="55"/>
      <c r="R12" s="55"/>
      <c r="S12" s="55"/>
      <c r="V12"/>
      <c r="W12"/>
      <c r="X12"/>
      <c r="Y12"/>
      <c r="Z12"/>
      <c r="AA12"/>
    </row>
    <row r="13" spans="2:27" ht="15.5" customHeight="1" x14ac:dyDescent="0.35">
      <c r="B13" s="28" t="s">
        <v>28</v>
      </c>
      <c r="C13" s="8">
        <v>0</v>
      </c>
      <c r="H13" s="4"/>
      <c r="I13" s="27" t="s">
        <v>54</v>
      </c>
      <c r="J13" s="26"/>
      <c r="K13" s="25"/>
      <c r="L13" s="4"/>
      <c r="M13" s="4"/>
      <c r="N13" s="55" t="s">
        <v>80</v>
      </c>
      <c r="O13" s="55"/>
      <c r="P13" s="55"/>
      <c r="Q13" s="55"/>
      <c r="R13" s="55"/>
      <c r="S13" s="55"/>
      <c r="V13" t="s">
        <v>91</v>
      </c>
      <c r="W13"/>
      <c r="X13"/>
      <c r="Y13"/>
      <c r="Z13"/>
      <c r="AA13"/>
    </row>
    <row r="14" spans="2:27" ht="15.5" customHeight="1" x14ac:dyDescent="0.35">
      <c r="B14" s="28" t="s">
        <v>86</v>
      </c>
      <c r="C14" s="8">
        <v>600</v>
      </c>
      <c r="H14" s="4"/>
      <c r="I14" s="27" t="s">
        <v>56</v>
      </c>
      <c r="J14" s="26"/>
      <c r="K14" s="25">
        <f>K9*(30/100)</f>
        <v>1771.4475469448585</v>
      </c>
      <c r="L14" s="4"/>
      <c r="M14" s="4"/>
      <c r="N14" s="55" t="s">
        <v>76</v>
      </c>
      <c r="O14" s="55"/>
      <c r="P14" s="55"/>
      <c r="Q14" s="55"/>
      <c r="R14" s="55"/>
      <c r="S14" s="55"/>
      <c r="V14" t="s">
        <v>92</v>
      </c>
      <c r="W14"/>
      <c r="X14"/>
      <c r="Y14"/>
      <c r="Z14"/>
      <c r="AA14"/>
    </row>
    <row r="15" spans="2:27" ht="15.5" customHeight="1" x14ac:dyDescent="0.35">
      <c r="H15" s="4"/>
      <c r="I15" s="27" t="s">
        <v>57</v>
      </c>
      <c r="J15" s="26"/>
      <c r="K15" s="25">
        <f>K9*(10/100)</f>
        <v>590.48251564828615</v>
      </c>
      <c r="L15" s="4"/>
      <c r="M15" s="4"/>
      <c r="N15" s="55" t="s">
        <v>81</v>
      </c>
      <c r="O15" s="55"/>
      <c r="P15" s="55"/>
      <c r="Q15" s="55"/>
      <c r="R15" s="55"/>
      <c r="S15" s="55"/>
      <c r="V15" t="s">
        <v>93</v>
      </c>
      <c r="W15"/>
      <c r="X15"/>
      <c r="Y15"/>
      <c r="Z15"/>
      <c r="AA15"/>
    </row>
    <row r="16" spans="2:27" ht="15.5" x14ac:dyDescent="0.35">
      <c r="B16" s="28" t="s">
        <v>60</v>
      </c>
      <c r="H16" s="4"/>
      <c r="I16" s="27" t="s">
        <v>58</v>
      </c>
      <c r="J16" s="26"/>
      <c r="K16" s="25">
        <f>K15</f>
        <v>590.48251564828615</v>
      </c>
      <c r="L16" s="4"/>
      <c r="M16" s="4"/>
      <c r="N16" s="55" t="s">
        <v>82</v>
      </c>
      <c r="O16" s="55"/>
      <c r="P16" s="55"/>
      <c r="Q16" s="55"/>
      <c r="R16" s="55"/>
      <c r="S16" s="55"/>
      <c r="V16" t="s">
        <v>94</v>
      </c>
      <c r="W16"/>
      <c r="X16"/>
      <c r="Y16"/>
      <c r="Z16"/>
      <c r="AA16"/>
    </row>
    <row r="17" spans="2:27" x14ac:dyDescent="0.35">
      <c r="H17" s="4"/>
      <c r="K17" s="1"/>
      <c r="L17" s="4"/>
      <c r="M17" s="4"/>
      <c r="N17" s="55" t="s">
        <v>83</v>
      </c>
      <c r="O17" s="55"/>
      <c r="P17" s="55"/>
      <c r="Q17" s="55"/>
      <c r="R17" s="55"/>
      <c r="S17" s="55"/>
      <c r="V17" t="s">
        <v>95</v>
      </c>
      <c r="W17"/>
      <c r="X17"/>
      <c r="Y17"/>
      <c r="Z17"/>
      <c r="AA17"/>
    </row>
    <row r="18" spans="2:27" ht="19" thickBot="1" x14ac:dyDescent="0.5">
      <c r="B18" s="9"/>
      <c r="C18" s="9"/>
      <c r="D18" s="9"/>
      <c r="E18" s="9"/>
      <c r="F18" s="9"/>
      <c r="G18" s="9"/>
      <c r="H18" s="4"/>
      <c r="I18" s="75" t="s">
        <v>67</v>
      </c>
      <c r="J18" s="76"/>
      <c r="K18" s="35">
        <f>SUM(K9:K16)</f>
        <v>15137.237734724291</v>
      </c>
      <c r="L18" s="4"/>
      <c r="M18" s="4"/>
      <c r="N18" s="4"/>
      <c r="O18" s="4"/>
      <c r="P18" s="4"/>
      <c r="Q18" s="4"/>
      <c r="R18" s="4"/>
      <c r="S18" s="4"/>
      <c r="V18" t="s">
        <v>96</v>
      </c>
      <c r="W18"/>
      <c r="X18"/>
      <c r="Y18"/>
      <c r="Z18"/>
      <c r="AA18"/>
    </row>
    <row r="19" spans="2:27" x14ac:dyDescent="0.35">
      <c r="B19" s="24"/>
      <c r="C19" s="24"/>
      <c r="D19" s="24"/>
      <c r="E19" s="24"/>
      <c r="F19" s="24"/>
      <c r="G19" s="2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V19"/>
      <c r="W19"/>
      <c r="X19"/>
      <c r="Y19"/>
      <c r="Z19"/>
      <c r="AA19"/>
    </row>
    <row r="20" spans="2:27" x14ac:dyDescent="0.3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V20" t="s">
        <v>97</v>
      </c>
      <c r="W20"/>
      <c r="X20"/>
      <c r="Y20"/>
      <c r="Z20"/>
      <c r="AA20"/>
    </row>
    <row r="21" spans="2:27" ht="20" thickBot="1" x14ac:dyDescent="0.5">
      <c r="B21" s="71" t="s">
        <v>11</v>
      </c>
      <c r="C21" s="71"/>
      <c r="D21" s="71"/>
      <c r="E21" s="71"/>
      <c r="F21" s="71"/>
      <c r="G21" s="71"/>
      <c r="H21" s="71"/>
      <c r="I21" s="71"/>
      <c r="J21" s="71"/>
      <c r="K21" s="71"/>
      <c r="L21" s="4"/>
      <c r="M21" s="4"/>
      <c r="N21" s="71" t="s">
        <v>12</v>
      </c>
      <c r="O21" s="71"/>
      <c r="P21" s="71"/>
      <c r="Q21" s="71"/>
      <c r="R21" s="71"/>
      <c r="S21" s="71"/>
      <c r="V21"/>
      <c r="W21"/>
      <c r="X21"/>
      <c r="Y21"/>
      <c r="Z21"/>
      <c r="AA21"/>
    </row>
    <row r="22" spans="2:27" ht="18" thickTop="1" thickBot="1" x14ac:dyDescent="0.45">
      <c r="B22" s="38" t="s">
        <v>19</v>
      </c>
      <c r="C22" s="38" t="s">
        <v>14</v>
      </c>
      <c r="D22" s="38" t="s">
        <v>21</v>
      </c>
      <c r="E22" s="30" t="s">
        <v>15</v>
      </c>
      <c r="F22" s="38" t="s">
        <v>22</v>
      </c>
      <c r="G22" s="30" t="s">
        <v>15</v>
      </c>
      <c r="H22" s="38" t="s">
        <v>16</v>
      </c>
      <c r="I22" s="38" t="s">
        <v>50</v>
      </c>
      <c r="J22" s="38" t="s">
        <v>17</v>
      </c>
      <c r="K22" s="38" t="s">
        <v>18</v>
      </c>
      <c r="L22" s="4"/>
      <c r="M22" s="4"/>
      <c r="N22" s="65"/>
      <c r="O22" s="65"/>
      <c r="P22" s="65"/>
      <c r="Q22" s="65"/>
      <c r="R22" s="65"/>
      <c r="S22" s="65"/>
      <c r="V22"/>
      <c r="W22"/>
      <c r="X22"/>
      <c r="Y22"/>
      <c r="Z22"/>
      <c r="AA22"/>
    </row>
    <row r="23" spans="2:27" ht="16" thickTop="1" x14ac:dyDescent="0.35">
      <c r="B23" s="40" t="s">
        <v>35</v>
      </c>
      <c r="C23">
        <f>((F9/1000)*(F10/1000))</f>
        <v>0.186</v>
      </c>
      <c r="D23" s="42">
        <v>2</v>
      </c>
      <c r="F23" s="48">
        <f>D23*$F$11</f>
        <v>8</v>
      </c>
      <c r="H23" s="2">
        <f>C23*F23</f>
        <v>1.488</v>
      </c>
      <c r="I23" s="39" t="str">
        <f>$Q$23</f>
        <v>WHITE</v>
      </c>
      <c r="J23" s="2">
        <f>($F$10/1000)*F23</f>
        <v>4.96</v>
      </c>
      <c r="L23" s="4"/>
      <c r="M23" s="4"/>
      <c r="N23" s="66" t="s">
        <v>38</v>
      </c>
      <c r="O23" s="66"/>
      <c r="P23" s="67"/>
      <c r="Q23" s="10" t="s">
        <v>148</v>
      </c>
      <c r="V23"/>
      <c r="W23"/>
      <c r="X23"/>
      <c r="Y23"/>
      <c r="Z23"/>
      <c r="AA23"/>
    </row>
    <row r="24" spans="2:27" x14ac:dyDescent="0.35">
      <c r="B24" s="40" t="s">
        <v>7</v>
      </c>
      <c r="C24">
        <f>(F8/1000)*(F9/1000)</f>
        <v>0.24</v>
      </c>
      <c r="D24" s="42" cm="1">
        <f t="array" ref="D24">_xlfn.IFS($E$7="BASE UNIT",1,$E$7="WALL UNIT",2,$E$7="TALL UNIT",2)</f>
        <v>1</v>
      </c>
      <c r="F24" s="47">
        <f t="shared" ref="F24:F25" si="0">D24*$F$11</f>
        <v>4</v>
      </c>
      <c r="H24" s="2">
        <f>C24*F24</f>
        <v>0.96</v>
      </c>
      <c r="I24" s="39" t="str">
        <f>$Q$23</f>
        <v>WHITE</v>
      </c>
      <c r="J24" s="2">
        <f>($F$8/1000)*F24</f>
        <v>3.2</v>
      </c>
      <c r="L24" s="4"/>
      <c r="M24" s="4"/>
      <c r="N24" s="58" t="s">
        <v>39</v>
      </c>
      <c r="O24" s="58"/>
      <c r="P24" s="63"/>
      <c r="Q24" s="11">
        <v>2750</v>
      </c>
      <c r="R24" s="12">
        <v>1830</v>
      </c>
      <c r="V24"/>
      <c r="W24"/>
      <c r="X24"/>
      <c r="Y24"/>
      <c r="Z24"/>
      <c r="AA24"/>
    </row>
    <row r="25" spans="2:27" x14ac:dyDescent="0.35">
      <c r="B25" s="40" t="s">
        <v>36</v>
      </c>
      <c r="C25">
        <f>(F8/1000)*(K25/1000)</f>
        <v>5.6000000000000008E-2</v>
      </c>
      <c r="D25" s="42" cm="1">
        <f t="array" ref="D25">_xlfn.IFS($E$7="BASE UNIT",4,$E$7="WALL UNIT",2,$E$7="TALL UNIT",3)</f>
        <v>4</v>
      </c>
      <c r="F25" s="47">
        <f t="shared" si="0"/>
        <v>16</v>
      </c>
      <c r="H25" s="2">
        <f>C25*F25</f>
        <v>0.89600000000000013</v>
      </c>
      <c r="I25" s="39" t="str">
        <f>$Q$23</f>
        <v>WHITE</v>
      </c>
      <c r="J25" s="6">
        <f>($F$8/1000)*F25</f>
        <v>12.8</v>
      </c>
      <c r="K25" s="32">
        <v>70</v>
      </c>
      <c r="L25" s="4"/>
      <c r="M25" s="4"/>
      <c r="N25" s="58" t="s">
        <v>42</v>
      </c>
      <c r="O25" s="58"/>
      <c r="P25" s="62"/>
      <c r="Q25" s="7">
        <f>(Q24/1000)*(R24/1000)</f>
        <v>5.0325000000000006</v>
      </c>
      <c r="V25"/>
      <c r="W25"/>
      <c r="X25"/>
      <c r="Y25"/>
      <c r="Z25"/>
      <c r="AA25"/>
    </row>
    <row r="26" spans="2:27" x14ac:dyDescent="0.35">
      <c r="B26" s="40" t="s">
        <v>37</v>
      </c>
      <c r="C26">
        <f>C24</f>
        <v>0.24</v>
      </c>
      <c r="D26" s="29">
        <v>1</v>
      </c>
      <c r="F26" s="47">
        <f>D26*$F$11</f>
        <v>4</v>
      </c>
      <c r="H26" s="2">
        <f>C26*F26</f>
        <v>0.96</v>
      </c>
      <c r="I26" s="39" t="str">
        <f>$Q$23</f>
        <v>WHITE</v>
      </c>
      <c r="J26" s="2">
        <f>($F$8/1000)*F26</f>
        <v>3.2</v>
      </c>
      <c r="L26" s="4"/>
      <c r="M26" s="4"/>
      <c r="N26" s="58" t="s">
        <v>43</v>
      </c>
      <c r="O26" s="58"/>
      <c r="P26" s="63"/>
      <c r="Q26" s="13" t="str">
        <f>_xlfn.IFS(Q23="WHITE","900",Q46="MELAMINE","1550",Q46="TEXTURE","2150",Q46="GLOSS","3300",Q46="MATTE","4450",Q46="MELAPLY","1350",Q46="PLY","750")</f>
        <v>900</v>
      </c>
      <c r="R26" t="s">
        <v>5</v>
      </c>
      <c r="V26"/>
      <c r="W26"/>
      <c r="X26"/>
      <c r="Y26"/>
      <c r="Z26"/>
      <c r="AA26"/>
    </row>
    <row r="27" spans="2:27" x14ac:dyDescent="0.35">
      <c r="B27" s="40"/>
      <c r="L27" s="4"/>
      <c r="M27" s="4"/>
      <c r="N27" s="58" t="s">
        <v>40</v>
      </c>
      <c r="O27" s="58"/>
      <c r="P27" s="62"/>
      <c r="Q27" s="7">
        <f>Q26/Q25</f>
        <v>178.8375558867362</v>
      </c>
      <c r="V27"/>
      <c r="W27"/>
      <c r="X27"/>
      <c r="Y27"/>
      <c r="Z27"/>
      <c r="AA27"/>
    </row>
    <row r="28" spans="2:27" x14ac:dyDescent="0.35">
      <c r="B28" s="40"/>
      <c r="G28" s="17" t="s">
        <v>16</v>
      </c>
      <c r="H28" s="19">
        <f>SUM(H23:H26)</f>
        <v>4.3040000000000003</v>
      </c>
      <c r="I28" s="16" t="s">
        <v>48</v>
      </c>
      <c r="J28" s="1">
        <f>SUM(J23:J26)</f>
        <v>24.16</v>
      </c>
      <c r="L28" s="4"/>
      <c r="M28" s="4"/>
      <c r="N28" s="60" t="s">
        <v>41</v>
      </c>
      <c r="O28" s="60"/>
      <c r="P28" s="61"/>
      <c r="Q28" s="8">
        <v>15</v>
      </c>
      <c r="V28"/>
      <c r="W28"/>
      <c r="X28"/>
      <c r="Y28"/>
      <c r="Z28"/>
      <c r="AA28"/>
    </row>
    <row r="29" spans="2:27" x14ac:dyDescent="0.35">
      <c r="B29" s="40"/>
      <c r="G29" s="17" t="s">
        <v>130</v>
      </c>
      <c r="H29" s="19">
        <f>H28/$Q$25</f>
        <v>0.85524093392945844</v>
      </c>
      <c r="I29" s="18" t="s">
        <v>49</v>
      </c>
      <c r="J29" s="1">
        <f>J28*$Q$28</f>
        <v>362.4</v>
      </c>
      <c r="L29" s="4"/>
      <c r="M29" s="4"/>
      <c r="N29" s="55"/>
      <c r="O29" s="55"/>
      <c r="P29" s="55"/>
      <c r="V29"/>
      <c r="W29"/>
      <c r="X29"/>
      <c r="Y29"/>
      <c r="Z29"/>
      <c r="AA29"/>
    </row>
    <row r="30" spans="2:27" x14ac:dyDescent="0.35">
      <c r="B30" s="40"/>
      <c r="G30" s="17" t="s">
        <v>47</v>
      </c>
      <c r="H30" s="20">
        <f>H28*$Q$27</f>
        <v>769.71684053651268</v>
      </c>
      <c r="L30" s="4"/>
      <c r="M30" s="4"/>
      <c r="N30" s="55"/>
      <c r="O30" s="55"/>
      <c r="P30" s="55"/>
      <c r="V30"/>
      <c r="W30"/>
      <c r="X30"/>
      <c r="Y30"/>
      <c r="Z30"/>
      <c r="AA30"/>
    </row>
    <row r="31" spans="2:27" ht="19" thickBot="1" x14ac:dyDescent="0.5">
      <c r="B31" s="41"/>
      <c r="C31" s="52" t="s">
        <v>10</v>
      </c>
      <c r="D31" s="53"/>
      <c r="E31" s="53"/>
      <c r="F31" s="53"/>
      <c r="G31" s="53"/>
      <c r="H31" s="53"/>
      <c r="I31" s="53"/>
      <c r="J31" s="54"/>
      <c r="K31" s="35">
        <f>H30+J29</f>
        <v>1132.1168405365127</v>
      </c>
      <c r="L31" s="4"/>
      <c r="M31" s="4"/>
      <c r="N31" s="52"/>
      <c r="O31" s="53"/>
      <c r="P31" s="53"/>
      <c r="Q31" s="53"/>
      <c r="R31" s="53"/>
      <c r="S31" s="53"/>
      <c r="V31"/>
      <c r="W31"/>
      <c r="X31"/>
      <c r="Y31"/>
      <c r="Z31"/>
      <c r="AA31"/>
    </row>
    <row r="32" spans="2:27" ht="15" thickTop="1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V32"/>
      <c r="W32"/>
      <c r="X32"/>
      <c r="Y32"/>
      <c r="Z32"/>
      <c r="AA32"/>
    </row>
    <row r="33" spans="2:27" ht="20" thickBot="1" x14ac:dyDescent="0.5">
      <c r="B33" s="64" t="s">
        <v>69</v>
      </c>
      <c r="C33" s="64"/>
      <c r="D33" s="64"/>
      <c r="E33" s="64"/>
      <c r="F33" s="64"/>
      <c r="G33" s="64"/>
      <c r="H33" s="64"/>
      <c r="I33" s="64"/>
      <c r="J33" s="64"/>
      <c r="K33" s="64"/>
      <c r="L33" s="4"/>
      <c r="M33" s="4"/>
      <c r="N33" s="71" t="s">
        <v>13</v>
      </c>
      <c r="O33" s="71"/>
      <c r="P33" s="71"/>
      <c r="Q33" s="71"/>
      <c r="R33" s="71"/>
      <c r="S33" s="71"/>
      <c r="V33"/>
      <c r="W33"/>
      <c r="X33"/>
      <c r="Y33"/>
      <c r="Z33"/>
      <c r="AA33"/>
    </row>
    <row r="34" spans="2:27" ht="18" thickTop="1" thickBot="1" x14ac:dyDescent="0.45">
      <c r="B34" s="30" t="s">
        <v>19</v>
      </c>
      <c r="C34" s="15" t="s">
        <v>14</v>
      </c>
      <c r="D34" s="34" t="s">
        <v>21</v>
      </c>
      <c r="E34" s="15" t="s">
        <v>15</v>
      </c>
      <c r="F34" s="34" t="s">
        <v>22</v>
      </c>
      <c r="G34" s="15" t="s">
        <v>15</v>
      </c>
      <c r="H34" s="34" t="s">
        <v>16</v>
      </c>
      <c r="I34" s="22" t="s">
        <v>50</v>
      </c>
      <c r="J34" s="34" t="s">
        <v>17</v>
      </c>
      <c r="K34" s="34" t="s">
        <v>18</v>
      </c>
      <c r="L34" s="4"/>
      <c r="M34" s="4"/>
      <c r="N34" s="65"/>
      <c r="O34" s="65"/>
      <c r="P34" s="65"/>
      <c r="Q34" s="65"/>
      <c r="R34" s="65"/>
      <c r="S34" s="65"/>
      <c r="V34"/>
      <c r="W34"/>
      <c r="X34"/>
      <c r="Y34"/>
      <c r="Z34"/>
      <c r="AA34"/>
    </row>
    <row r="35" spans="2:27" ht="15" thickTop="1" x14ac:dyDescent="0.35">
      <c r="B35" s="31" t="s">
        <v>23</v>
      </c>
      <c r="C35">
        <f>(($Q$35/$Q$37)/1000)*($Q$36/1000)+(2*((($Q$35/$Q$37)/1000)*(K35/1000)))+(2*(($Q$36/1000)*(K35/1000)))</f>
        <v>0.3125</v>
      </c>
      <c r="D35" s="29">
        <v>4</v>
      </c>
      <c r="F35" s="48">
        <f>$Q$37*D35</f>
        <v>16</v>
      </c>
      <c r="H35" s="2">
        <f>C35*F35</f>
        <v>5</v>
      </c>
      <c r="I35" s="23" t="str">
        <f>$Q$23</f>
        <v>WHITE</v>
      </c>
      <c r="J35" s="2">
        <f>(2*($Q$35/1000)+2*($Q$36/1000)+2*(K35/1000))*F35</f>
        <v>38.4</v>
      </c>
      <c r="K35" s="33">
        <v>200</v>
      </c>
      <c r="L35" s="4"/>
      <c r="M35" s="4"/>
      <c r="N35" s="56" t="s">
        <v>44</v>
      </c>
      <c r="O35" s="56"/>
      <c r="P35" s="57"/>
      <c r="Q35" s="8">
        <v>500</v>
      </c>
      <c r="V35"/>
      <c r="W35"/>
      <c r="X35"/>
      <c r="Y35"/>
      <c r="Z35"/>
      <c r="AA35"/>
    </row>
    <row r="36" spans="2:27" x14ac:dyDescent="0.35">
      <c r="B36" s="31" t="s">
        <v>24</v>
      </c>
      <c r="C36">
        <f>(($Q$35/$Q$37)/1000)*($Q$36/1000)+(2*((($Q$35/$Q$37)/1000)*(K36/1000)))+(2*(($Q$36/1000)*(K36/1000)))</f>
        <v>0.4375</v>
      </c>
      <c r="D36" s="29">
        <v>0</v>
      </c>
      <c r="F36" s="47">
        <f>$Q$37*D36</f>
        <v>0</v>
      </c>
      <c r="H36" s="2">
        <f>C36*F36</f>
        <v>0</v>
      </c>
      <c r="I36" s="23" t="str">
        <f>$Q$23</f>
        <v>WHITE</v>
      </c>
      <c r="J36" s="2">
        <f>(2*($Q$35/1000)+2*($Q$36/1000)+2*(K36/1000))*F36</f>
        <v>0</v>
      </c>
      <c r="K36" s="33">
        <v>300</v>
      </c>
      <c r="L36" s="4"/>
      <c r="M36" s="4"/>
      <c r="N36" s="58" t="s">
        <v>45</v>
      </c>
      <c r="O36" s="58"/>
      <c r="P36" s="59"/>
      <c r="Q36" s="8">
        <v>500</v>
      </c>
      <c r="V36"/>
      <c r="W36"/>
      <c r="X36"/>
      <c r="Y36"/>
      <c r="Z36"/>
      <c r="AA36"/>
    </row>
    <row r="37" spans="2:27" x14ac:dyDescent="0.35">
      <c r="B37" s="31" t="s">
        <v>25</v>
      </c>
      <c r="C37">
        <f>(Q35/1000)*(Q36/1000)</f>
        <v>0.25</v>
      </c>
      <c r="D37" s="29">
        <v>0</v>
      </c>
      <c r="F37" s="47">
        <f>$Q$37*D37</f>
        <v>0</v>
      </c>
      <c r="H37" s="2">
        <f>C37*F37</f>
        <v>0</v>
      </c>
      <c r="I37" s="23" t="str">
        <f>$Q$23</f>
        <v>WHITE</v>
      </c>
      <c r="J37" s="2">
        <f>(Q35/1000)*D37</f>
        <v>0</v>
      </c>
      <c r="L37" s="4"/>
      <c r="M37" s="4"/>
      <c r="N37" s="60" t="s">
        <v>46</v>
      </c>
      <c r="O37" s="60"/>
      <c r="P37" s="61"/>
      <c r="Q37" s="8">
        <v>4</v>
      </c>
      <c r="V37"/>
      <c r="W37"/>
      <c r="X37"/>
      <c r="Y37"/>
      <c r="Z37"/>
      <c r="AA37"/>
    </row>
    <row r="38" spans="2:27" x14ac:dyDescent="0.35">
      <c r="B38" s="31"/>
      <c r="L38" s="4"/>
      <c r="M38" s="4"/>
      <c r="N38" s="55"/>
      <c r="O38" s="55"/>
      <c r="P38" s="55"/>
      <c r="V38"/>
      <c r="W38"/>
      <c r="X38"/>
      <c r="Y38"/>
      <c r="Z38"/>
      <c r="AA38"/>
    </row>
    <row r="39" spans="2:27" x14ac:dyDescent="0.35">
      <c r="B39" s="31"/>
      <c r="G39" s="17" t="s">
        <v>16</v>
      </c>
      <c r="H39" s="1">
        <f>SUM(H35:H37)</f>
        <v>5</v>
      </c>
      <c r="I39" s="16" t="s">
        <v>48</v>
      </c>
      <c r="J39" s="1">
        <f>SUM(J35:J37)</f>
        <v>38.4</v>
      </c>
      <c r="L39" s="4"/>
      <c r="M39" s="4"/>
      <c r="N39" s="55"/>
      <c r="O39" s="55"/>
      <c r="P39" s="55"/>
      <c r="V39"/>
      <c r="W39"/>
      <c r="X39"/>
      <c r="Y39"/>
      <c r="Z39"/>
      <c r="AA39"/>
    </row>
    <row r="40" spans="2:27" x14ac:dyDescent="0.35">
      <c r="B40" s="31"/>
      <c r="G40" s="17" t="s">
        <v>130</v>
      </c>
      <c r="H40" s="19">
        <f>H39/$Q$25</f>
        <v>0.99354197714853443</v>
      </c>
      <c r="I40" s="18" t="s">
        <v>49</v>
      </c>
      <c r="J40" s="1">
        <f>J39*$Q$28</f>
        <v>576</v>
      </c>
      <c r="L40" s="4"/>
      <c r="M40" s="4"/>
      <c r="N40" s="55"/>
      <c r="O40" s="55"/>
      <c r="P40" s="55"/>
      <c r="V40"/>
      <c r="W40"/>
      <c r="X40"/>
      <c r="Y40"/>
      <c r="Z40"/>
      <c r="AA40"/>
    </row>
    <row r="41" spans="2:27" x14ac:dyDescent="0.35">
      <c r="B41" s="31"/>
      <c r="G41" s="17" t="s">
        <v>47</v>
      </c>
      <c r="H41" s="1">
        <f>H39*$Q$27</f>
        <v>894.18777943368104</v>
      </c>
      <c r="L41" s="4"/>
      <c r="M41" s="4"/>
      <c r="N41" s="55"/>
      <c r="O41" s="55"/>
      <c r="P41" s="55"/>
      <c r="V41"/>
      <c r="W41"/>
      <c r="X41"/>
      <c r="Y41"/>
      <c r="Z41"/>
      <c r="AA41"/>
    </row>
    <row r="42" spans="2:27" ht="19" thickBot="1" x14ac:dyDescent="0.5">
      <c r="B42" s="37"/>
      <c r="C42" s="52" t="s">
        <v>10</v>
      </c>
      <c r="D42" s="53"/>
      <c r="E42" s="53"/>
      <c r="F42" s="53"/>
      <c r="G42" s="53"/>
      <c r="H42" s="53"/>
      <c r="I42" s="53" t="s">
        <v>10</v>
      </c>
      <c r="J42" s="54" t="s">
        <v>9</v>
      </c>
      <c r="K42" s="35">
        <f>H41+J40</f>
        <v>1470.187779433681</v>
      </c>
      <c r="L42" s="4"/>
      <c r="M42" s="4"/>
      <c r="N42" s="52"/>
      <c r="O42" s="53"/>
      <c r="P42" s="53"/>
      <c r="Q42" s="53"/>
      <c r="R42" s="53"/>
      <c r="S42" s="53"/>
      <c r="V42"/>
      <c r="W42"/>
      <c r="X42"/>
      <c r="Y42"/>
      <c r="Z42"/>
      <c r="AA42"/>
    </row>
    <row r="43" spans="2:27" ht="15" thickTop="1" x14ac:dyDescent="0.3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V43"/>
      <c r="W43"/>
      <c r="X43"/>
      <c r="Y43"/>
      <c r="Z43"/>
      <c r="AA43"/>
    </row>
    <row r="44" spans="2:27" ht="20" thickBot="1" x14ac:dyDescent="0.5">
      <c r="B44" s="64" t="s">
        <v>70</v>
      </c>
      <c r="C44" s="64"/>
      <c r="D44" s="64"/>
      <c r="E44" s="64"/>
      <c r="F44" s="64"/>
      <c r="G44" s="64"/>
      <c r="H44" s="64"/>
      <c r="I44" s="64"/>
      <c r="J44" s="64"/>
      <c r="K44" s="64"/>
      <c r="L44" s="4"/>
      <c r="M44" s="4"/>
      <c r="N44" s="64" t="s">
        <v>98</v>
      </c>
      <c r="O44" s="64"/>
      <c r="P44" s="64"/>
      <c r="Q44" s="64"/>
      <c r="R44" s="64"/>
      <c r="S44" s="64"/>
      <c r="V44"/>
      <c r="W44"/>
      <c r="X44"/>
      <c r="Y44"/>
      <c r="Z44"/>
      <c r="AA44"/>
    </row>
    <row r="45" spans="2:27" ht="18" thickTop="1" thickBot="1" x14ac:dyDescent="0.45">
      <c r="B45" s="30" t="s">
        <v>19</v>
      </c>
      <c r="C45" s="15" t="s">
        <v>14</v>
      </c>
      <c r="D45" s="15" t="s">
        <v>21</v>
      </c>
      <c r="E45" s="15" t="s">
        <v>15</v>
      </c>
      <c r="F45" s="15" t="s">
        <v>22</v>
      </c>
      <c r="G45" s="15" t="s">
        <v>15</v>
      </c>
      <c r="H45" s="15" t="s">
        <v>16</v>
      </c>
      <c r="I45" s="22" t="s">
        <v>50</v>
      </c>
      <c r="J45" s="15" t="s">
        <v>17</v>
      </c>
      <c r="K45" s="15" t="s">
        <v>18</v>
      </c>
      <c r="L45" s="4"/>
      <c r="M45" s="4"/>
      <c r="N45" s="65"/>
      <c r="O45" s="65"/>
      <c r="P45" s="65"/>
      <c r="Q45" s="65"/>
      <c r="R45" s="65"/>
      <c r="S45" s="65"/>
      <c r="V45"/>
      <c r="W45"/>
      <c r="X45"/>
      <c r="Y45"/>
      <c r="Z45"/>
      <c r="AA45"/>
    </row>
    <row r="46" spans="2:27" ht="16" thickTop="1" x14ac:dyDescent="0.35">
      <c r="B46" s="31" t="s">
        <v>26</v>
      </c>
      <c r="C46">
        <f>($F$8/1000)*($F$10/1000)</f>
        <v>0.496</v>
      </c>
      <c r="D46" s="49">
        <v>1</v>
      </c>
      <c r="F46" s="49">
        <f>D46*$F$11</f>
        <v>4</v>
      </c>
      <c r="H46" s="2">
        <f t="shared" ref="H46:H51" si="1">C46*F46</f>
        <v>1.984</v>
      </c>
      <c r="I46" s="23" t="str">
        <f t="shared" ref="I46:I51" si="2">$Q$46</f>
        <v>TEXTURE</v>
      </c>
      <c r="J46" s="2">
        <f>(2*(F8/1000)+((2*F46)*(F10/1000)))</f>
        <v>6.5600000000000005</v>
      </c>
      <c r="L46" s="4"/>
      <c r="M46" s="4"/>
      <c r="N46" s="66" t="s">
        <v>0</v>
      </c>
      <c r="O46" s="66"/>
      <c r="P46" s="67"/>
      <c r="Q46" s="10" t="s">
        <v>150</v>
      </c>
      <c r="V46"/>
      <c r="W46"/>
      <c r="X46"/>
      <c r="Y46"/>
      <c r="Z46"/>
      <c r="AA46"/>
    </row>
    <row r="47" spans="2:27" x14ac:dyDescent="0.35">
      <c r="B47" s="31" t="s">
        <v>27</v>
      </c>
      <c r="C47">
        <f>(F9/1000)*(F10/1000)</f>
        <v>0.186</v>
      </c>
      <c r="D47" s="49">
        <v>2</v>
      </c>
      <c r="F47" s="47">
        <f>D47</f>
        <v>2</v>
      </c>
      <c r="H47" s="2">
        <f t="shared" si="1"/>
        <v>0.372</v>
      </c>
      <c r="I47" s="23" t="str">
        <f t="shared" si="2"/>
        <v>TEXTURE</v>
      </c>
      <c r="J47" s="2">
        <f>((F10/1000)+2*(F9/1000))*F47</f>
        <v>2.44</v>
      </c>
      <c r="L47" s="4"/>
      <c r="M47" s="4"/>
      <c r="N47" s="58" t="s">
        <v>1</v>
      </c>
      <c r="O47" s="58"/>
      <c r="P47" s="63"/>
      <c r="Q47" s="11">
        <v>2750</v>
      </c>
      <c r="R47" s="12">
        <v>1830</v>
      </c>
      <c r="V47"/>
      <c r="W47"/>
      <c r="X47"/>
      <c r="Y47"/>
      <c r="Z47"/>
      <c r="AA47"/>
    </row>
    <row r="48" spans="2:27" x14ac:dyDescent="0.35">
      <c r="B48" s="31" t="s">
        <v>28</v>
      </c>
      <c r="C48">
        <f>(F8/1000)*(K48/1000)</f>
        <v>0</v>
      </c>
      <c r="D48" s="50">
        <v>0</v>
      </c>
      <c r="F48" s="47">
        <f>D48*$F$11</f>
        <v>0</v>
      </c>
      <c r="H48" s="2">
        <f t="shared" si="1"/>
        <v>0</v>
      </c>
      <c r="I48" s="23" t="str">
        <f t="shared" si="2"/>
        <v>TEXTURE</v>
      </c>
      <c r="J48" s="14"/>
      <c r="K48" s="32">
        <f>C13</f>
        <v>0</v>
      </c>
      <c r="L48" s="4"/>
      <c r="M48" s="4"/>
      <c r="N48" s="58" t="s">
        <v>4</v>
      </c>
      <c r="O48" s="58"/>
      <c r="P48" s="62"/>
      <c r="Q48" s="7">
        <f>(Q47/1000)*(R47/1000)</f>
        <v>5.0325000000000006</v>
      </c>
      <c r="V48"/>
      <c r="W48"/>
      <c r="X48"/>
      <c r="Y48"/>
      <c r="Z48"/>
      <c r="AA48"/>
    </row>
    <row r="49" spans="2:27" x14ac:dyDescent="0.35">
      <c r="B49" s="31" t="s">
        <v>29</v>
      </c>
      <c r="C49">
        <f>(F8/1000)*(K49/1000)</f>
        <v>8.0000000000000016E-2</v>
      </c>
      <c r="D49" s="50">
        <v>1</v>
      </c>
      <c r="F49" s="47">
        <f t="shared" ref="F49:F51" si="3">D49*$F$11</f>
        <v>4</v>
      </c>
      <c r="H49" s="2">
        <f t="shared" si="1"/>
        <v>0.32000000000000006</v>
      </c>
      <c r="I49" s="23" t="str">
        <f t="shared" si="2"/>
        <v>TEXTURE</v>
      </c>
      <c r="J49" s="14"/>
      <c r="K49" s="32">
        <f>C12</f>
        <v>100</v>
      </c>
      <c r="L49" s="4"/>
      <c r="M49" s="4"/>
      <c r="N49" s="58" t="s">
        <v>2</v>
      </c>
      <c r="O49" s="58"/>
      <c r="P49" s="63"/>
      <c r="Q49" s="13" t="str">
        <f>_xlfn.IFS(Q46="WHITE","900",Q46="MELAMINE","1550",Q46="TEXTURE","2150",Q46="GLOSS","3300",Q46="MATTE","4450",Q46="MELAPLY","1350",Q46="PLY","750")</f>
        <v>2150</v>
      </c>
      <c r="R49" t="s">
        <v>5</v>
      </c>
      <c r="V49"/>
      <c r="W49"/>
      <c r="X49"/>
      <c r="Y49"/>
      <c r="Z49"/>
      <c r="AA49"/>
    </row>
    <row r="50" spans="2:27" x14ac:dyDescent="0.35">
      <c r="B50" s="31" t="s">
        <v>30</v>
      </c>
      <c r="C50">
        <f>(F8/1000)*(F9/1000)</f>
        <v>0.24</v>
      </c>
      <c r="D50" s="50">
        <v>1</v>
      </c>
      <c r="F50" s="47">
        <f t="shared" si="3"/>
        <v>4</v>
      </c>
      <c r="H50" s="2">
        <f t="shared" si="1"/>
        <v>0.96</v>
      </c>
      <c r="I50" s="23" t="str">
        <f t="shared" si="2"/>
        <v>TEXTURE</v>
      </c>
      <c r="J50" s="2">
        <f>(($F$8/1000)+2*($F$9/1000))*F50</f>
        <v>5.6</v>
      </c>
      <c r="L50" s="4"/>
      <c r="M50" s="4"/>
      <c r="N50" s="58" t="s">
        <v>3</v>
      </c>
      <c r="O50" s="58"/>
      <c r="P50" s="62"/>
      <c r="Q50" s="7">
        <f>Q49/Q48</f>
        <v>427.22305017386981</v>
      </c>
      <c r="V50"/>
      <c r="W50"/>
      <c r="X50"/>
      <c r="Y50"/>
      <c r="Z50"/>
      <c r="AA50"/>
    </row>
    <row r="51" spans="2:27" x14ac:dyDescent="0.35">
      <c r="B51" s="31" t="s">
        <v>34</v>
      </c>
      <c r="C51">
        <f>(F8/1000)*(F9/1000)</f>
        <v>0.24</v>
      </c>
      <c r="D51" s="50">
        <v>0</v>
      </c>
      <c r="F51" s="47">
        <f t="shared" si="3"/>
        <v>0</v>
      </c>
      <c r="H51" s="2">
        <f t="shared" si="1"/>
        <v>0</v>
      </c>
      <c r="I51" s="23" t="str">
        <f t="shared" si="2"/>
        <v>TEXTURE</v>
      </c>
      <c r="J51" s="2">
        <f>(($F$8/1000)+2*($F$9/1000))*F51</f>
        <v>0</v>
      </c>
      <c r="L51" s="4"/>
      <c r="M51" s="4"/>
      <c r="N51" s="60" t="s">
        <v>8</v>
      </c>
      <c r="O51" s="60"/>
      <c r="P51" s="61"/>
      <c r="Q51" s="8">
        <v>25</v>
      </c>
      <c r="V51"/>
      <c r="W51"/>
      <c r="X51"/>
      <c r="Y51"/>
      <c r="Z51"/>
      <c r="AA51"/>
    </row>
    <row r="52" spans="2:27" x14ac:dyDescent="0.35">
      <c r="B52" s="31"/>
      <c r="L52" s="4"/>
      <c r="M52" s="4"/>
      <c r="N52" s="55"/>
      <c r="O52" s="55"/>
      <c r="P52" s="55"/>
      <c r="V52"/>
      <c r="W52"/>
      <c r="X52"/>
      <c r="Y52"/>
      <c r="Z52"/>
      <c r="AA52"/>
    </row>
    <row r="53" spans="2:27" x14ac:dyDescent="0.35">
      <c r="B53" s="31"/>
      <c r="G53" s="17" t="s">
        <v>16</v>
      </c>
      <c r="H53" s="1">
        <f>SUM(H46:H51)</f>
        <v>3.6360000000000001</v>
      </c>
      <c r="I53" s="16" t="s">
        <v>48</v>
      </c>
      <c r="J53" s="1">
        <f>SUM(J46:J51)</f>
        <v>14.6</v>
      </c>
      <c r="L53" s="4"/>
      <c r="M53" s="4"/>
      <c r="N53" s="55"/>
      <c r="O53" s="55"/>
      <c r="P53" s="55"/>
      <c r="V53"/>
      <c r="W53"/>
      <c r="X53"/>
      <c r="Y53"/>
      <c r="Z53"/>
      <c r="AA53"/>
    </row>
    <row r="54" spans="2:27" x14ac:dyDescent="0.35">
      <c r="B54" s="31"/>
      <c r="G54" s="17" t="s">
        <v>130</v>
      </c>
      <c r="H54" s="19">
        <f>H53/$Q$48</f>
        <v>0.72250372578241429</v>
      </c>
      <c r="I54" s="18" t="s">
        <v>49</v>
      </c>
      <c r="J54" s="1">
        <f>J53*$Q$51</f>
        <v>365</v>
      </c>
      <c r="L54" s="4"/>
      <c r="M54" s="4"/>
      <c r="N54" s="55"/>
      <c r="O54" s="55"/>
      <c r="P54" s="55"/>
      <c r="V54"/>
      <c r="W54"/>
      <c r="X54"/>
      <c r="Y54"/>
      <c r="Z54"/>
      <c r="AA54"/>
    </row>
    <row r="55" spans="2:27" x14ac:dyDescent="0.35">
      <c r="B55" s="31"/>
      <c r="G55" s="17" t="s">
        <v>47</v>
      </c>
      <c r="H55" s="1">
        <f>H53*$Q$50</f>
        <v>1553.3830104321908</v>
      </c>
      <c r="L55" s="4"/>
      <c r="M55" s="4"/>
      <c r="N55" s="55"/>
      <c r="O55" s="55"/>
      <c r="P55" s="55"/>
      <c r="V55"/>
      <c r="W55"/>
      <c r="X55"/>
      <c r="Y55"/>
      <c r="Z55"/>
      <c r="AA55"/>
    </row>
    <row r="56" spans="2:27" ht="19" thickBot="1" x14ac:dyDescent="0.5">
      <c r="B56" s="37"/>
      <c r="C56" s="52" t="s">
        <v>10</v>
      </c>
      <c r="D56" s="53"/>
      <c r="E56" s="53"/>
      <c r="F56" s="53"/>
      <c r="G56" s="53"/>
      <c r="H56" s="53"/>
      <c r="I56" s="53" t="s">
        <v>10</v>
      </c>
      <c r="J56" s="54"/>
      <c r="K56" s="35">
        <f>H55+J54</f>
        <v>1918.3830104321908</v>
      </c>
      <c r="L56" s="4"/>
      <c r="M56" s="4"/>
      <c r="N56" s="52"/>
      <c r="O56" s="53"/>
      <c r="P56" s="53"/>
      <c r="Q56" s="53"/>
      <c r="R56" s="53"/>
      <c r="S56" s="53"/>
      <c r="V56"/>
      <c r="W56"/>
      <c r="X56"/>
      <c r="Y56"/>
      <c r="Z56"/>
      <c r="AA56"/>
    </row>
    <row r="57" spans="2:27" ht="15" thickTop="1" x14ac:dyDescent="0.3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V57"/>
      <c r="W57"/>
      <c r="X57"/>
      <c r="Y57"/>
      <c r="Z57"/>
      <c r="AA57"/>
    </row>
    <row r="58" spans="2:27" ht="20" thickBot="1" x14ac:dyDescent="0.5">
      <c r="B58" s="64" t="s">
        <v>71</v>
      </c>
      <c r="C58" s="64"/>
      <c r="D58" s="64"/>
      <c r="E58" s="64"/>
      <c r="F58" s="64"/>
      <c r="G58" s="64"/>
      <c r="H58" s="64"/>
      <c r="I58" s="64"/>
      <c r="J58" s="64"/>
      <c r="K58" s="64"/>
      <c r="L58" s="4"/>
      <c r="M58" s="4"/>
      <c r="N58" s="4"/>
      <c r="O58" s="4"/>
      <c r="P58" s="4"/>
      <c r="Q58" s="4"/>
      <c r="R58" s="4"/>
      <c r="S58" s="4"/>
      <c r="V58"/>
      <c r="W58"/>
      <c r="X58"/>
      <c r="Y58"/>
      <c r="Z58"/>
      <c r="AA58"/>
    </row>
    <row r="59" spans="2:27" ht="15.5" thickTop="1" thickBot="1" x14ac:dyDescent="0.4">
      <c r="B59" s="30" t="s">
        <v>31</v>
      </c>
      <c r="C59" s="15" t="str">
        <f t="shared" ref="C59:H59" si="4">UPPER(C22)</f>
        <v>AREA</v>
      </c>
      <c r="D59" s="15" t="str">
        <f t="shared" si="4"/>
        <v># OF:</v>
      </c>
      <c r="E59" s="15" t="str">
        <f t="shared" si="4"/>
        <v/>
      </c>
      <c r="F59" s="15" t="str">
        <f t="shared" si="4"/>
        <v>TOTAL #:</v>
      </c>
      <c r="G59" s="15" t="str">
        <f t="shared" si="4"/>
        <v/>
      </c>
      <c r="H59" s="15" t="str">
        <f t="shared" si="4"/>
        <v>TOTAL AREA</v>
      </c>
      <c r="I59" s="22" t="s">
        <v>47</v>
      </c>
      <c r="J59" s="15" t="str">
        <f>UPPER(J22)</f>
        <v>EDGING</v>
      </c>
      <c r="K59" s="15" t="str">
        <f>UPPER(K22)</f>
        <v>MEASUREMENTS</v>
      </c>
      <c r="L59" s="4"/>
      <c r="M59" s="4"/>
      <c r="N59" s="4"/>
      <c r="O59" s="4"/>
      <c r="P59" s="4"/>
      <c r="Q59" s="4"/>
      <c r="R59" s="4"/>
      <c r="S59" s="4"/>
      <c r="V59"/>
      <c r="W59"/>
      <c r="X59"/>
      <c r="Y59"/>
      <c r="Z59"/>
      <c r="AA59"/>
    </row>
    <row r="60" spans="2:27" ht="15" thickTop="1" x14ac:dyDescent="0.35">
      <c r="B60" s="31" t="s">
        <v>6</v>
      </c>
      <c r="C60">
        <f>($F$8/1000)*($F$10/1000)</f>
        <v>0.496</v>
      </c>
      <c r="D60" s="47" t="str">
        <f>IF(D61&gt;0,"0","1")</f>
        <v>1</v>
      </c>
      <c r="F60" s="47">
        <f>D60*$F$11</f>
        <v>4</v>
      </c>
      <c r="H60" s="2">
        <f>C60*F60</f>
        <v>1.984</v>
      </c>
      <c r="I60" s="2">
        <f>H60*100</f>
        <v>198.4</v>
      </c>
      <c r="J60" s="14"/>
      <c r="L60" s="4"/>
      <c r="M60" s="4"/>
      <c r="N60" s="4"/>
      <c r="O60" s="4"/>
      <c r="P60" s="4"/>
      <c r="Q60" s="4"/>
      <c r="R60" s="4"/>
      <c r="S60" s="4"/>
      <c r="V60"/>
      <c r="W60"/>
      <c r="X60"/>
      <c r="Y60"/>
      <c r="Z60"/>
      <c r="AA60"/>
    </row>
    <row r="61" spans="2:27" x14ac:dyDescent="0.35">
      <c r="B61" s="31" t="s">
        <v>33</v>
      </c>
      <c r="C61">
        <f>($F$8/1000)*($F$10/1000)</f>
        <v>0.496</v>
      </c>
      <c r="D61" s="49">
        <v>0</v>
      </c>
      <c r="F61" s="47">
        <f t="shared" ref="F61:F62" si="5">D61*$F$11</f>
        <v>0</v>
      </c>
      <c r="H61" s="2">
        <f>C61*F61</f>
        <v>0</v>
      </c>
      <c r="I61" s="2">
        <f>H61*Q50</f>
        <v>0</v>
      </c>
      <c r="J61" s="2">
        <f>((2*(F8/1000))+(2*(F10/1000)))*F61</f>
        <v>0</v>
      </c>
      <c r="L61" s="4"/>
      <c r="M61" s="4"/>
      <c r="N61" s="4"/>
      <c r="O61" s="4"/>
      <c r="P61" s="4"/>
      <c r="Q61" s="4"/>
      <c r="R61" s="4"/>
      <c r="S61" s="4"/>
      <c r="V61"/>
      <c r="W61"/>
      <c r="X61"/>
      <c r="Y61"/>
      <c r="Z61"/>
      <c r="AA61"/>
    </row>
    <row r="62" spans="2:27" x14ac:dyDescent="0.35">
      <c r="B62" s="31" t="s">
        <v>32</v>
      </c>
      <c r="C62">
        <f>((2*(($F$8/$F$11)/1000))*(K62/1000))+((2*(F62*($F$9/1000)))*(K62/1000))</f>
        <v>0.28000000000000003</v>
      </c>
      <c r="D62" s="51">
        <v>1</v>
      </c>
      <c r="F62" s="47">
        <f t="shared" si="5"/>
        <v>4</v>
      </c>
      <c r="H62" s="2">
        <f>C62*F62</f>
        <v>1.1200000000000001</v>
      </c>
      <c r="I62" s="2">
        <f>H62*180</f>
        <v>201.60000000000002</v>
      </c>
      <c r="J62" s="14"/>
      <c r="K62" s="32">
        <f>C12</f>
        <v>100</v>
      </c>
      <c r="L62" s="4"/>
      <c r="M62" s="4"/>
      <c r="N62" s="4"/>
      <c r="O62" s="4"/>
      <c r="P62" s="4"/>
      <c r="Q62" s="4"/>
      <c r="R62" s="4"/>
      <c r="S62" s="4"/>
      <c r="V62"/>
      <c r="W62"/>
      <c r="X62"/>
      <c r="Y62"/>
      <c r="Z62"/>
      <c r="AA62"/>
    </row>
    <row r="63" spans="2:27" x14ac:dyDescent="0.35">
      <c r="B63" s="31"/>
      <c r="L63" s="4"/>
      <c r="M63" s="4"/>
      <c r="N63" s="4"/>
      <c r="O63" s="4"/>
      <c r="P63" s="4"/>
      <c r="Q63" s="4"/>
      <c r="R63" s="4"/>
      <c r="S63" s="4"/>
      <c r="V63"/>
      <c r="W63"/>
      <c r="X63"/>
      <c r="Y63"/>
      <c r="Z63"/>
      <c r="AA63"/>
    </row>
    <row r="64" spans="2:27" x14ac:dyDescent="0.35">
      <c r="B64" s="31"/>
      <c r="G64" s="17" t="s">
        <v>16</v>
      </c>
      <c r="H64" s="1">
        <f>SUM(H60:H62)</f>
        <v>3.1040000000000001</v>
      </c>
      <c r="I64" s="16" t="s">
        <v>48</v>
      </c>
      <c r="J64" s="1">
        <f>SUM(J60:J62)</f>
        <v>0</v>
      </c>
      <c r="L64" s="4"/>
      <c r="M64" s="4"/>
      <c r="N64" s="4"/>
      <c r="O64" s="4"/>
      <c r="P64" s="4"/>
      <c r="Q64" s="4"/>
      <c r="R64" s="4"/>
      <c r="S64" s="4"/>
      <c r="V64"/>
      <c r="W64"/>
      <c r="X64"/>
      <c r="Y64"/>
      <c r="Z64"/>
      <c r="AA64"/>
    </row>
    <row r="65" spans="2:27" x14ac:dyDescent="0.35">
      <c r="B65" s="31"/>
      <c r="G65" s="17" t="s">
        <v>47</v>
      </c>
      <c r="H65" s="1">
        <f>SUM(I60:I62)</f>
        <v>400</v>
      </c>
      <c r="I65" s="18" t="s">
        <v>49</v>
      </c>
      <c r="J65" s="1">
        <f>J64*$Q$51</f>
        <v>0</v>
      </c>
      <c r="L65" s="4"/>
      <c r="M65" s="4"/>
      <c r="N65" s="4"/>
      <c r="O65" s="4"/>
      <c r="P65" s="4"/>
      <c r="Q65" s="4"/>
      <c r="R65" s="4"/>
      <c r="S65" s="4"/>
      <c r="V65"/>
      <c r="W65"/>
      <c r="X65"/>
      <c r="Y65"/>
      <c r="Z65"/>
      <c r="AA65"/>
    </row>
    <row r="66" spans="2:27" x14ac:dyDescent="0.35">
      <c r="B66" s="31"/>
      <c r="L66" s="4"/>
      <c r="M66" s="4"/>
      <c r="N66" s="4"/>
      <c r="O66" s="4"/>
      <c r="P66" s="4"/>
      <c r="Q66" s="4"/>
      <c r="R66" s="4"/>
      <c r="S66" s="4"/>
      <c r="V66"/>
      <c r="W66"/>
      <c r="X66"/>
      <c r="Y66"/>
      <c r="Z66"/>
      <c r="AA66"/>
    </row>
    <row r="67" spans="2:27" ht="19" thickBot="1" x14ac:dyDescent="0.5">
      <c r="B67" s="37"/>
      <c r="C67" s="52" t="s">
        <v>10</v>
      </c>
      <c r="D67" s="53"/>
      <c r="E67" s="53"/>
      <c r="F67" s="53"/>
      <c r="G67" s="53"/>
      <c r="H67" s="53"/>
      <c r="I67" s="53"/>
      <c r="J67" s="54"/>
      <c r="K67" s="35">
        <f>H65+J65</f>
        <v>400</v>
      </c>
      <c r="L67" s="4"/>
      <c r="M67" s="4"/>
      <c r="N67" s="4"/>
      <c r="O67" s="4"/>
      <c r="P67" s="4"/>
      <c r="Q67" s="4"/>
      <c r="R67" s="4"/>
      <c r="S67" s="4"/>
      <c r="V67"/>
      <c r="W67"/>
      <c r="X67"/>
      <c r="Y67"/>
      <c r="Z67"/>
      <c r="AA67"/>
    </row>
    <row r="68" spans="2:27" ht="15" thickTop="1" x14ac:dyDescent="0.3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2:27" x14ac:dyDescent="0.3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2:27" x14ac:dyDescent="0.3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2:27" x14ac:dyDescent="0.3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2:27" x14ac:dyDescent="0.3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2:27" x14ac:dyDescent="0.3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2:27" x14ac:dyDescent="0.3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2:27" x14ac:dyDescent="0.3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2:27" x14ac:dyDescent="0.3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2:27" x14ac:dyDescent="0.35">
      <c r="B77" t="s">
        <v>100</v>
      </c>
    </row>
    <row r="78" spans="2:27" x14ac:dyDescent="0.35">
      <c r="B78" t="s">
        <v>106</v>
      </c>
    </row>
    <row r="79" spans="2:27" x14ac:dyDescent="0.35">
      <c r="B79" t="s">
        <v>105</v>
      </c>
    </row>
    <row r="80" spans="2:27" x14ac:dyDescent="0.35">
      <c r="B80" t="s">
        <v>101</v>
      </c>
    </row>
    <row r="81" spans="2:10" x14ac:dyDescent="0.35">
      <c r="B81" t="s">
        <v>102</v>
      </c>
      <c r="D81">
        <v>0.3</v>
      </c>
    </row>
    <row r="82" spans="2:10" x14ac:dyDescent="0.35">
      <c r="B82" t="s">
        <v>103</v>
      </c>
      <c r="D82">
        <v>0.5</v>
      </c>
    </row>
    <row r="83" spans="2:10" x14ac:dyDescent="0.35">
      <c r="B83" t="s">
        <v>127</v>
      </c>
      <c r="D83">
        <v>2</v>
      </c>
    </row>
    <row r="84" spans="2:10" x14ac:dyDescent="0.35">
      <c r="B84" t="s">
        <v>67</v>
      </c>
      <c r="D84">
        <f>(SUM(D79:D82))*D83</f>
        <v>1.6</v>
      </c>
    </row>
    <row r="85" spans="2:10" x14ac:dyDescent="0.35">
      <c r="B85" t="s">
        <v>104</v>
      </c>
      <c r="D85">
        <v>250</v>
      </c>
    </row>
    <row r="86" spans="2:10" x14ac:dyDescent="0.35">
      <c r="B86" t="s">
        <v>53</v>
      </c>
      <c r="D86">
        <f>D85*D84</f>
        <v>400</v>
      </c>
    </row>
    <row r="88" spans="2:10" x14ac:dyDescent="0.35">
      <c r="B88" t="s">
        <v>128</v>
      </c>
      <c r="D88">
        <f>(F8/1000)*D86</f>
        <v>320</v>
      </c>
    </row>
    <row r="92" spans="2:10" x14ac:dyDescent="0.35">
      <c r="B92" t="s">
        <v>107</v>
      </c>
    </row>
    <row r="94" spans="2:10" x14ac:dyDescent="0.35">
      <c r="B94" t="s">
        <v>113</v>
      </c>
      <c r="D94">
        <v>25</v>
      </c>
      <c r="E94" t="s">
        <v>117</v>
      </c>
      <c r="G94" t="s">
        <v>108</v>
      </c>
      <c r="I94">
        <v>20</v>
      </c>
      <c r="J94" t="s">
        <v>119</v>
      </c>
    </row>
    <row r="95" spans="2:10" x14ac:dyDescent="0.35">
      <c r="B95" t="s">
        <v>111</v>
      </c>
      <c r="D95">
        <v>2</v>
      </c>
      <c r="G95" t="s">
        <v>109</v>
      </c>
      <c r="I95" s="46">
        <v>25</v>
      </c>
      <c r="J95" t="s">
        <v>118</v>
      </c>
    </row>
    <row r="96" spans="2:10" x14ac:dyDescent="0.35">
      <c r="B96" t="s">
        <v>110</v>
      </c>
      <c r="D96">
        <v>10</v>
      </c>
      <c r="G96" t="s">
        <v>116</v>
      </c>
      <c r="I96">
        <f>I94*D95</f>
        <v>40</v>
      </c>
      <c r="J96" t="s">
        <v>119</v>
      </c>
    </row>
    <row r="97" spans="2:10" x14ac:dyDescent="0.35">
      <c r="B97" t="s">
        <v>115</v>
      </c>
      <c r="D97">
        <f>D94*(D96*D95)</f>
        <v>500</v>
      </c>
      <c r="E97" t="s">
        <v>117</v>
      </c>
      <c r="G97" t="s">
        <v>114</v>
      </c>
      <c r="I97" s="46">
        <f>((I96*I95)/100)</f>
        <v>10</v>
      </c>
      <c r="J97" t="s">
        <v>118</v>
      </c>
    </row>
    <row r="99" spans="2:10" x14ac:dyDescent="0.35">
      <c r="H99" t="s">
        <v>112</v>
      </c>
      <c r="J99" s="46">
        <f>D97*I97</f>
        <v>5000</v>
      </c>
    </row>
    <row r="102" spans="2:10" x14ac:dyDescent="0.35">
      <c r="B102" t="s">
        <v>120</v>
      </c>
    </row>
    <row r="104" spans="2:10" x14ac:dyDescent="0.35">
      <c r="C104" t="s">
        <v>121</v>
      </c>
      <c r="D104" t="s">
        <v>122</v>
      </c>
      <c r="E104" t="s">
        <v>123</v>
      </c>
      <c r="F104" t="s">
        <v>125</v>
      </c>
    </row>
    <row r="105" spans="2:10" x14ac:dyDescent="0.35">
      <c r="B105" t="s">
        <v>26</v>
      </c>
    </row>
    <row r="106" spans="2:10" x14ac:dyDescent="0.35">
      <c r="B106" t="s">
        <v>23</v>
      </c>
    </row>
    <row r="107" spans="2:10" x14ac:dyDescent="0.35">
      <c r="B107" t="s">
        <v>124</v>
      </c>
    </row>
    <row r="108" spans="2:10" x14ac:dyDescent="0.35">
      <c r="B108" t="s">
        <v>126</v>
      </c>
    </row>
    <row r="111" spans="2:10" x14ac:dyDescent="0.35">
      <c r="B111" t="s">
        <v>72</v>
      </c>
    </row>
    <row r="112" spans="2:10" x14ac:dyDescent="0.35">
      <c r="D112" t="s">
        <v>131</v>
      </c>
      <c r="E112" t="s">
        <v>44</v>
      </c>
      <c r="F112" t="s">
        <v>60</v>
      </c>
      <c r="I112" t="s">
        <v>143</v>
      </c>
    </row>
    <row r="113" spans="2:9" x14ac:dyDescent="0.35">
      <c r="B113" t="s">
        <v>66</v>
      </c>
      <c r="D113">
        <v>2600</v>
      </c>
      <c r="I113" t="s">
        <v>147</v>
      </c>
    </row>
    <row r="114" spans="2:9" x14ac:dyDescent="0.35">
      <c r="B114" t="s">
        <v>132</v>
      </c>
      <c r="D114">
        <v>2500</v>
      </c>
    </row>
    <row r="115" spans="2:9" x14ac:dyDescent="0.35">
      <c r="B115" t="s">
        <v>7</v>
      </c>
      <c r="D115">
        <v>150</v>
      </c>
      <c r="I115" t="s">
        <v>144</v>
      </c>
    </row>
    <row r="116" spans="2:9" x14ac:dyDescent="0.35">
      <c r="B116" t="s">
        <v>28</v>
      </c>
      <c r="D116">
        <v>100</v>
      </c>
    </row>
    <row r="117" spans="2:9" x14ac:dyDescent="0.35">
      <c r="B117" t="s">
        <v>133</v>
      </c>
      <c r="D117">
        <v>600</v>
      </c>
      <c r="I117" t="s">
        <v>145</v>
      </c>
    </row>
    <row r="118" spans="2:9" x14ac:dyDescent="0.35">
      <c r="B118" t="s">
        <v>141</v>
      </c>
      <c r="D118">
        <v>900</v>
      </c>
    </row>
    <row r="119" spans="2:9" x14ac:dyDescent="0.35">
      <c r="B119" t="s">
        <v>142</v>
      </c>
      <c r="D119">
        <v>20</v>
      </c>
      <c r="I119" t="s">
        <v>146</v>
      </c>
    </row>
    <row r="121" spans="2:9" x14ac:dyDescent="0.35">
      <c r="B121" t="s">
        <v>7</v>
      </c>
      <c r="D121">
        <f>D118-D119-D115</f>
        <v>730</v>
      </c>
    </row>
    <row r="122" spans="2:9" x14ac:dyDescent="0.35">
      <c r="B122" t="s">
        <v>64</v>
      </c>
      <c r="D122">
        <f>D114-D115</f>
        <v>2350</v>
      </c>
    </row>
    <row r="123" spans="2:9" x14ac:dyDescent="0.35">
      <c r="B123" t="s">
        <v>65</v>
      </c>
      <c r="D123">
        <f>D114-D118-D117</f>
        <v>1000</v>
      </c>
    </row>
    <row r="124" spans="2:9" x14ac:dyDescent="0.35">
      <c r="B124" t="s">
        <v>139</v>
      </c>
      <c r="D124">
        <f>D123/2</f>
        <v>500</v>
      </c>
    </row>
    <row r="125" spans="2:9" x14ac:dyDescent="0.35">
      <c r="B125" t="s">
        <v>140</v>
      </c>
      <c r="D125">
        <f>D124</f>
        <v>500</v>
      </c>
    </row>
    <row r="128" spans="2:9" x14ac:dyDescent="0.35">
      <c r="B128" t="s">
        <v>134</v>
      </c>
      <c r="D128">
        <f>D114-1850</f>
        <v>650</v>
      </c>
      <c r="E128">
        <v>1000</v>
      </c>
    </row>
    <row r="129" spans="2:5" x14ac:dyDescent="0.35">
      <c r="B129" t="s">
        <v>135</v>
      </c>
      <c r="D129">
        <f>D114-D118-300</f>
        <v>1300</v>
      </c>
    </row>
    <row r="130" spans="2:5" x14ac:dyDescent="0.35">
      <c r="B130" t="s">
        <v>136</v>
      </c>
      <c r="E130">
        <v>900</v>
      </c>
    </row>
    <row r="131" spans="2:5" x14ac:dyDescent="0.35">
      <c r="B131" t="s">
        <v>137</v>
      </c>
    </row>
    <row r="132" spans="2:5" x14ac:dyDescent="0.35">
      <c r="B132" t="s">
        <v>138</v>
      </c>
      <c r="E132">
        <v>900</v>
      </c>
    </row>
  </sheetData>
  <mergeCells count="63">
    <mergeCell ref="N56:S56"/>
    <mergeCell ref="B44:K44"/>
    <mergeCell ref="N33:S33"/>
    <mergeCell ref="N27:P27"/>
    <mergeCell ref="N28:P28"/>
    <mergeCell ref="N29:P29"/>
    <mergeCell ref="N44:S44"/>
    <mergeCell ref="I18:J18"/>
    <mergeCell ref="I10:J10"/>
    <mergeCell ref="N21:S21"/>
    <mergeCell ref="B21:K21"/>
    <mergeCell ref="B33:K33"/>
    <mergeCell ref="N15:S15"/>
    <mergeCell ref="N16:S16"/>
    <mergeCell ref="N17:S17"/>
    <mergeCell ref="N22:S22"/>
    <mergeCell ref="N23:P23"/>
    <mergeCell ref="N24:P24"/>
    <mergeCell ref="N25:P25"/>
    <mergeCell ref="N26:P26"/>
    <mergeCell ref="N11:S11"/>
    <mergeCell ref="N12:S12"/>
    <mergeCell ref="N13:S13"/>
    <mergeCell ref="B2:S3"/>
    <mergeCell ref="N7:S7"/>
    <mergeCell ref="N8:S8"/>
    <mergeCell ref="N9:S9"/>
    <mergeCell ref="N10:S10"/>
    <mergeCell ref="I7:K7"/>
    <mergeCell ref="I6:K6"/>
    <mergeCell ref="I8:J8"/>
    <mergeCell ref="B6:G6"/>
    <mergeCell ref="B7:D7"/>
    <mergeCell ref="E7:G7"/>
    <mergeCell ref="N6:S6"/>
    <mergeCell ref="N14:S14"/>
    <mergeCell ref="N50:P50"/>
    <mergeCell ref="N51:P51"/>
    <mergeCell ref="N52:P52"/>
    <mergeCell ref="N53:P53"/>
    <mergeCell ref="N30:P30"/>
    <mergeCell ref="N34:S34"/>
    <mergeCell ref="N45:S45"/>
    <mergeCell ref="N46:P46"/>
    <mergeCell ref="N47:P47"/>
    <mergeCell ref="N31:S31"/>
    <mergeCell ref="N42:S42"/>
    <mergeCell ref="C67:J67"/>
    <mergeCell ref="C56:J56"/>
    <mergeCell ref="C42:J42"/>
    <mergeCell ref="C31:J31"/>
    <mergeCell ref="N54:P54"/>
    <mergeCell ref="N55:P55"/>
    <mergeCell ref="N35:P35"/>
    <mergeCell ref="N36:P36"/>
    <mergeCell ref="N37:P37"/>
    <mergeCell ref="N38:P38"/>
    <mergeCell ref="N39:P39"/>
    <mergeCell ref="N40:P40"/>
    <mergeCell ref="N41:P41"/>
    <mergeCell ref="N48:P48"/>
    <mergeCell ref="N49:P49"/>
    <mergeCell ref="B58:K58"/>
  </mergeCells>
  <dataValidations count="2">
    <dataValidation type="list" allowBlank="1" showInputMessage="1" showErrorMessage="1" sqref="Q23 Q46" xr:uid="{BA4BEBA8-9490-486F-833B-B7C9075C0FE8}">
      <formula1>"WHITE,MELAMINE,TEXTURE,GLOSS,MATTE,PLY,MELAPLY,MASONITE"</formula1>
    </dataValidation>
    <dataValidation type="list" allowBlank="1" showInputMessage="1" showErrorMessage="1" sqref="E7:G7" xr:uid="{A42F7712-6057-45F0-AF61-CA30CB3402F7}">
      <formula1>"BASE UNIT,WALL UNIT,TALL UNIT,BEDROOM CUPBOARD,FRIDGE UNIT"</formula1>
    </dataValidation>
  </dataValidations>
  <pageMargins left="0.7" right="0.7" top="0.75" bottom="0.75" header="0.3" footer="0.3"/>
  <pageSetup orientation="portrait" r:id="rId1"/>
  <ignoredErrors>
    <ignoredError sqref="F47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Austin Pillay</cp:lastModifiedBy>
  <dcterms:created xsi:type="dcterms:W3CDTF">2025-05-29T13:02:14Z</dcterms:created>
  <dcterms:modified xsi:type="dcterms:W3CDTF">2026-05-28T09:55:15Z</dcterms:modified>
</cp:coreProperties>
</file>